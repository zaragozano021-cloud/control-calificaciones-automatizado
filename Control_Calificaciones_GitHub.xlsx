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Dashboard" sheetId="1" state="visible" r:id="rId1"/>
    <sheet name="Base_Notas" sheetId="2" state="visible" r:id="rId2"/>
    <sheet name="Control_Asistencia" sheetId="3" state="visible" r:id="rId3"/>
    <sheet name="Competencias y rap" sheetId="4" state="visible" r:id="rId4"/>
  </sheets>
  <definedNames/>
  <calcPr calcId="191029" fullCalcOnLoad="1"/>
</workbook>
</file>

<file path=xl/styles.xml><?xml version="1.0" encoding="utf-8"?>
<styleSheet xmlns="http://schemas.openxmlformats.org/spreadsheetml/2006/main">
  <numFmts count="0"/>
  <fonts count="37">
    <font>
      <name val="Calibri"/>
      <family val="2"/>
      <color theme="1"/>
      <sz val="11"/>
      <scheme val="minor"/>
    </font>
    <font>
      <name val="Arial"/>
      <b val="1"/>
      <color rgb="FFFFFFFF"/>
      <sz val="10"/>
    </font>
    <font>
      <name val="Segoe UI"/>
      <sz val="11"/>
    </font>
    <font>
      <name val="Segoe UI"/>
      <b val="1"/>
      <color rgb="FF1E293B"/>
      <sz val="15"/>
    </font>
    <font>
      <name val="Segoe UI"/>
      <i val="1"/>
      <color rgb="FF64748B"/>
      <sz val="9"/>
    </font>
    <font>
      <name val="Segoe UI"/>
      <b val="1"/>
      <color rgb="FF64748B"/>
      <sz val="9"/>
    </font>
    <font>
      <name val="Segoe UI"/>
      <b val="1"/>
      <color rgb="FF1E293B"/>
      <sz val="22"/>
    </font>
    <font>
      <name val="Segoe UI"/>
      <b val="1"/>
      <color rgb="FFFFFFFF"/>
      <sz val="9"/>
    </font>
    <font>
      <name val="Segoe UI"/>
      <b val="1"/>
      <color rgb="FF0F766E"/>
      <sz val="10"/>
    </font>
    <font>
      <name val="Segoe UI"/>
      <b val="1"/>
      <color rgb="FF000000"/>
      <sz val="11"/>
    </font>
    <font>
      <name val="Segoe UI"/>
      <sz val="10"/>
    </font>
    <font>
      <name val="Segoe UI"/>
      <b val="1"/>
      <sz val="10"/>
    </font>
    <font>
      <name val="Segoe UI"/>
      <b val="1"/>
      <color rgb="FF856404"/>
      <sz val="16"/>
    </font>
    <font>
      <name val="Segoe UI"/>
      <b val="1"/>
      <color rgb="FF721C24"/>
      <sz val="16"/>
    </font>
    <font>
      <name val="Segoe UI"/>
      <b val="1"/>
      <color rgb="FF0369A1"/>
      <sz val="16"/>
    </font>
    <font>
      <name val="Segoe UI"/>
      <b val="1"/>
      <color rgb="FF1E293B"/>
      <sz val="10"/>
    </font>
    <font>
      <name val="Segoe UI"/>
      <color rgb="FF64748B"/>
      <sz val="9"/>
    </font>
    <font>
      <name val="Segoe UI"/>
      <b val="1"/>
      <color rgb="FF991B1B"/>
      <sz val="10"/>
    </font>
    <font>
      <name val="Segoe UI"/>
      <i val="1"/>
      <color rgb="FF991B1B"/>
      <sz val="9"/>
    </font>
    <font>
      <name val="Calibri"/>
      <family val="2"/>
      <b val="1"/>
      <color theme="1"/>
      <sz val="11"/>
      <scheme val="minor"/>
    </font>
    <font>
      <name val="Calibri"/>
      <family val="2"/>
      <b val="1"/>
      <color theme="1"/>
      <sz val="13.5"/>
      <scheme val="minor"/>
    </font>
    <font>
      <name val="Segoe UI"/>
      <b val="1"/>
      <color rgb="FFFFFFFF"/>
      <sz val="10"/>
    </font>
    <font>
      <name val="Segoe UI"/>
      <b val="1"/>
      <color rgb="FF137333"/>
      <sz val="10"/>
    </font>
    <font>
      <name val="Segoe UI"/>
      <b val="1"/>
      <color rgb="FFC5221F"/>
      <sz val="10"/>
    </font>
    <font>
      <name val="Segoe UI"/>
      <b val="1"/>
      <color rgb="001E293B"/>
      <sz val="15"/>
    </font>
    <font>
      <name val="Segoe UI"/>
      <i val="1"/>
      <color rgb="0064748B"/>
      <sz val="9"/>
    </font>
    <font>
      <name val="Segoe UI"/>
      <b val="1"/>
      <color rgb="0064748B"/>
      <sz val="9"/>
    </font>
    <font>
      <name val="Segoe UI"/>
      <b val="1"/>
      <color rgb="001E293B"/>
      <sz val="22"/>
    </font>
    <font>
      <name val="Segoe UI"/>
      <b val="1"/>
      <color rgb="00FFFFFF"/>
      <sz val="9"/>
    </font>
    <font>
      <name val="Segoe UI"/>
      <b val="1"/>
      <color rgb="000F766E"/>
      <sz val="10"/>
    </font>
    <font>
      <name val="Segoe UI"/>
      <b val="1"/>
      <color rgb="00000000"/>
      <sz val="11"/>
    </font>
    <font>
      <name val="Segoe UI"/>
      <b val="1"/>
      <color rgb="001E293B"/>
      <sz val="10"/>
    </font>
    <font>
      <name val="Segoe UI"/>
      <color rgb="0064748B"/>
      <sz val="9"/>
    </font>
    <font>
      <name val="Segoe UI"/>
      <b val="1"/>
      <color rgb="00991B1B"/>
      <sz val="10"/>
    </font>
    <font>
      <name val="Segoe UI"/>
      <i val="1"/>
      <color rgb="00991B1B"/>
      <sz val="9"/>
    </font>
    <font>
      <name val="Segoe UI"/>
      <b val="1"/>
      <color rgb="00137333"/>
      <sz val="10"/>
    </font>
    <font>
      <name val="Segoe UI"/>
      <b val="1"/>
      <color rgb="00C5221F"/>
      <sz val="10"/>
    </font>
  </fonts>
  <fills count="23">
    <fill>
      <patternFill/>
    </fill>
    <fill>
      <patternFill patternType="gray125"/>
    </fill>
    <fill>
      <patternFill patternType="solid">
        <fgColor rgb="FF343A40"/>
        <bgColor rgb="FF343A40"/>
      </patternFill>
    </fill>
    <fill>
      <patternFill patternType="solid">
        <fgColor theme="3" tint="0.3999755851924192"/>
        <bgColor rgb="FF343A40"/>
      </patternFill>
    </fill>
    <fill>
      <patternFill patternType="solid">
        <fgColor theme="5" tint="-0.249977111117893"/>
        <bgColor rgb="FF343A40"/>
      </patternFill>
    </fill>
    <fill>
      <patternFill patternType="solid">
        <fgColor theme="0" tint="-0.499984740745262"/>
        <bgColor rgb="FF343A40"/>
      </patternFill>
    </fill>
    <fill>
      <patternFill patternType="solid">
        <fgColor rgb="FFFF0000"/>
        <bgColor rgb="FF343A40"/>
      </patternFill>
    </fill>
    <fill>
      <patternFill patternType="solid">
        <fgColor rgb="FFFFFFFF"/>
        <bgColor rgb="FFFFFFFF"/>
      </patternFill>
    </fill>
    <fill>
      <patternFill patternType="solid">
        <fgColor rgb="FF334155"/>
        <bgColor rgb="FF334155"/>
      </patternFill>
    </fill>
    <fill>
      <patternFill patternType="solid">
        <fgColor rgb="FFF0FDF4"/>
        <bgColor rgb="FFF0FDF4"/>
      </patternFill>
    </fill>
    <fill>
      <patternFill patternType="solid">
        <fgColor rgb="FFFFF3CD"/>
        <bgColor rgb="FFFFF3CD"/>
      </patternFill>
    </fill>
    <fill>
      <patternFill patternType="solid">
        <fgColor rgb="FFF8D7DA"/>
        <bgColor rgb="FFF8D7DA"/>
      </patternFill>
    </fill>
    <fill>
      <patternFill patternType="solid">
        <fgColor rgb="FFE0F2FE"/>
        <bgColor rgb="FFE0F2FE"/>
      </patternFill>
    </fill>
    <fill>
      <patternFill patternType="solid">
        <fgColor rgb="FF991B1B"/>
        <bgColor rgb="FF991B1B"/>
      </patternFill>
    </fill>
    <fill>
      <patternFill patternType="solid">
        <fgColor rgb="FF1E293B"/>
        <bgColor rgb="FF1E293B"/>
      </patternFill>
    </fill>
    <fill>
      <patternFill patternType="solid">
        <fgColor rgb="FFE6F4EA"/>
        <bgColor rgb="FFE6F4EA"/>
      </patternFill>
    </fill>
    <fill>
      <patternFill patternType="solid">
        <fgColor rgb="FFFCE8E6"/>
        <bgColor rgb="FFFCE8E6"/>
      </patternFill>
    </fill>
    <fill>
      <patternFill patternType="solid">
        <fgColor rgb="00FFFFFF"/>
        <bgColor rgb="00FFFFFF"/>
      </patternFill>
    </fill>
    <fill>
      <patternFill patternType="solid">
        <fgColor rgb="00334155"/>
        <bgColor rgb="00334155"/>
      </patternFill>
    </fill>
    <fill>
      <patternFill patternType="solid">
        <fgColor rgb="00F0FDF4"/>
        <bgColor rgb="00F0FDF4"/>
      </patternFill>
    </fill>
    <fill>
      <patternFill patternType="solid">
        <fgColor rgb="00991B1B"/>
        <bgColor rgb="00991B1B"/>
      </patternFill>
    </fill>
    <fill>
      <patternFill patternType="solid">
        <fgColor rgb="00E6F4EA"/>
        <bgColor rgb="00E6F4EA"/>
      </patternFill>
    </fill>
    <fill>
      <patternFill patternType="solid">
        <fgColor rgb="00FCE8E6"/>
        <bgColor rgb="00FCE8E6"/>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bottom/>
      <diagonal/>
    </border>
    <border>
      <left/>
      <right/>
      <top/>
      <bottom/>
      <diagonal/>
    </border>
    <border>
      <left style="thin">
        <color rgb="FFE2E8F0"/>
      </left>
      <right style="thin">
        <color rgb="FFE2E8F0"/>
      </right>
      <top style="thin">
        <color rgb="FFE2E8F0"/>
      </top>
      <bottom style="thin">
        <color rgb="FFE2E8F0"/>
      </bottom>
      <diagonal/>
    </border>
    <border>
      <left/>
      <right/>
      <top style="thin">
        <color rgb="FFE2E8F0"/>
      </top>
      <bottom/>
      <diagonal/>
    </border>
    <border>
      <left/>
      <right style="thin">
        <color rgb="FFE2E8F0"/>
      </right>
      <top style="thin">
        <color rgb="FFE2E8F0"/>
      </top>
      <bottom/>
      <diagonal/>
    </border>
    <border>
      <left/>
      <right style="thin">
        <color rgb="FFE2E8F0"/>
      </right>
      <top style="thin">
        <color rgb="FFE2E8F0"/>
      </top>
      <bottom style="thin">
        <color rgb="FFE2E8F0"/>
      </bottom>
      <diagonal/>
    </border>
    <border>
      <left style="thin">
        <color rgb="FFE2E8F0"/>
      </left>
      <right/>
      <top/>
      <bottom style="thin">
        <color rgb="FFE2E8F0"/>
      </bottom>
      <diagonal/>
    </border>
    <border>
      <left/>
      <right/>
      <top/>
      <bottom style="thin">
        <color rgb="FFE2E8F0"/>
      </bottom>
      <diagonal/>
    </border>
    <border>
      <left/>
      <right style="thin">
        <color rgb="FFE2E8F0"/>
      </right>
      <top/>
      <bottom style="thin">
        <color rgb="FFE2E8F0"/>
      </bottom>
      <diagonal/>
    </border>
    <border>
      <left/>
      <right/>
      <top style="thin">
        <color rgb="FFE2E8F0"/>
      </top>
      <bottom style="thin">
        <color rgb="FFE2E8F0"/>
      </bottom>
      <diagonal/>
    </border>
    <border>
      <left style="thin">
        <color rgb="FFE2E8F0"/>
      </left>
      <right style="thin">
        <color rgb="FFE2E8F0"/>
      </right>
      <top/>
      <bottom style="thin">
        <color rgb="FFE2E8F0"/>
      </bottom>
      <diagonal/>
    </border>
    <border>
      <left style="thin">
        <color rgb="FFCBD5E1"/>
      </left>
      <right style="thin">
        <color rgb="FFCBD5E1"/>
      </right>
      <top style="thin">
        <color rgb="FFCBD5E1"/>
      </top>
      <bottom style="thin">
        <color rgb="FFCBD5E1"/>
      </bottom>
      <diagonal/>
    </border>
    <border>
      <left style="thin">
        <color rgb="FFE2E8F0"/>
      </left>
      <right/>
      <top/>
      <bottom/>
      <diagonal/>
    </border>
    <border>
      <left/>
      <right style="thin">
        <color rgb="FFE2E8F0"/>
      </right>
      <top/>
      <bottom/>
      <diagonal/>
    </border>
    <border>
      <left style="thin">
        <color rgb="FFE2E8F0"/>
      </left>
      <right style="thin">
        <color rgb="FFE2E8F0"/>
      </right>
      <top/>
      <bottom/>
      <diagonal/>
    </border>
    <border>
      <left style="thin">
        <color indexed="64"/>
      </left>
      <right/>
      <top/>
      <bottom/>
      <diagonal/>
    </border>
    <border/>
    <border>
      <left style="thin">
        <color rgb="00E2E8F0"/>
      </left>
      <right style="thin">
        <color rgb="00E2E8F0"/>
      </right>
      <top style="thin">
        <color rgb="00E2E8F0"/>
      </top>
      <bottom style="thin">
        <color rgb="00E2E8F0"/>
      </bottom>
    </border>
    <border>
      <left style="thin">
        <color rgb="00CBD5E1"/>
      </left>
      <right style="thin">
        <color rgb="00CBD5E1"/>
      </right>
      <top style="thin">
        <color rgb="00CBD5E1"/>
      </top>
      <bottom style="thin">
        <color rgb="00CBD5E1"/>
      </bottom>
    </border>
  </borders>
  <cellStyleXfs count="1">
    <xf numFmtId="0" fontId="0" fillId="0" borderId="6"/>
  </cellStyleXfs>
  <cellXfs count="106">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vertical="center" wrapText="1"/>
    </xf>
    <xf numFmtId="0" fontId="1" fillId="2" borderId="4" applyAlignment="1" pivotButton="0" quotePrefix="0" xfId="0">
      <alignment horizontal="center" vertical="center"/>
    </xf>
    <xf numFmtId="0" fontId="0" fillId="0" borderId="4" pivotButton="0" quotePrefix="0" xfId="0"/>
    <xf numFmtId="2" fontId="0" fillId="0" borderId="4" pivotButton="0" quotePrefix="0" xfId="0"/>
    <xf numFmtId="0" fontId="1" fillId="3" borderId="4" applyAlignment="1" pivotButton="0" quotePrefix="0" xfId="0">
      <alignment horizontal="center" vertical="center" wrapText="1"/>
    </xf>
    <xf numFmtId="0" fontId="1" fillId="4" borderId="4" applyAlignment="1" pivotButton="0" quotePrefix="0" xfId="0">
      <alignment horizontal="center" vertical="center"/>
    </xf>
    <xf numFmtId="0" fontId="1" fillId="5" borderId="4" applyAlignment="1" pivotButton="0" quotePrefix="0" xfId="0">
      <alignment horizontal="center" vertical="center"/>
    </xf>
    <xf numFmtId="2" fontId="0" fillId="0" borderId="4" applyAlignment="1" pivotButton="0" quotePrefix="0" xfId="0">
      <alignment horizontal="center"/>
    </xf>
    <xf numFmtId="0" fontId="1" fillId="6" borderId="4" applyAlignment="1" pivotButton="0" quotePrefix="0" xfId="0">
      <alignment horizontal="center" vertical="center" wrapText="1"/>
    </xf>
    <xf numFmtId="0" fontId="0" fillId="0" borderId="5" pivotButton="0" quotePrefix="0" xfId="0"/>
    <xf numFmtId="2" fontId="0" fillId="0" borderId="5" pivotButton="0" quotePrefix="0" xfId="0"/>
    <xf numFmtId="2" fontId="0" fillId="0" borderId="5" applyAlignment="1" pivotButton="0" quotePrefix="0" xfId="0">
      <alignment horizontal="center"/>
    </xf>
    <xf numFmtId="0" fontId="2" fillId="0" borderId="6" applyAlignment="1" pivotButton="0" quotePrefix="0" xfId="0">
      <alignment horizontal="center" vertical="center"/>
    </xf>
    <xf numFmtId="0" fontId="2" fillId="0" borderId="6" pivotButton="0" quotePrefix="0" xfId="0"/>
    <xf numFmtId="0" fontId="3" fillId="0" borderId="6" pivotButton="0" quotePrefix="0" xfId="0"/>
    <xf numFmtId="2" fontId="2" fillId="0" borderId="6" pivotButton="0" quotePrefix="0" xfId="0"/>
    <xf numFmtId="0" fontId="2" fillId="0" borderId="6" applyAlignment="1" pivotButton="0" quotePrefix="0" xfId="0">
      <alignment horizontal="center"/>
    </xf>
    <xf numFmtId="0" fontId="4" fillId="0" borderId="6" pivotButton="0" quotePrefix="0" xfId="0"/>
    <xf numFmtId="9" fontId="7" fillId="8" borderId="7" applyAlignment="1" pivotButton="0" quotePrefix="0" xfId="0">
      <alignment horizontal="center" vertical="center"/>
    </xf>
    <xf numFmtId="2" fontId="7" fillId="8" borderId="7" applyAlignment="1" pivotButton="0" quotePrefix="0" xfId="0">
      <alignment horizontal="center" vertical="center"/>
    </xf>
    <xf numFmtId="0" fontId="7" fillId="8" borderId="7" applyAlignment="1" pivotButton="0" quotePrefix="0" xfId="0">
      <alignment horizontal="center" vertical="center"/>
    </xf>
    <xf numFmtId="9" fontId="10" fillId="0" borderId="7" applyAlignment="1" pivotButton="0" quotePrefix="0" xfId="0">
      <alignment horizontal="center"/>
    </xf>
    <xf numFmtId="2" fontId="2" fillId="0" borderId="7" applyAlignment="1" pivotButton="0" quotePrefix="0" xfId="0">
      <alignment horizontal="center"/>
    </xf>
    <xf numFmtId="2" fontId="11" fillId="0" borderId="7" applyAlignment="1" pivotButton="0" quotePrefix="0" xfId="0">
      <alignment horizontal="center"/>
    </xf>
    <xf numFmtId="0" fontId="11" fillId="0" borderId="7" applyAlignment="1" pivotButton="0" quotePrefix="0" xfId="0">
      <alignment horizontal="center"/>
    </xf>
    <xf numFmtId="0" fontId="2" fillId="0" borderId="7" applyAlignment="1" pivotButton="0" quotePrefix="0" xfId="0">
      <alignment horizontal="center"/>
    </xf>
    <xf numFmtId="0" fontId="15" fillId="0" borderId="7" applyAlignment="1" pivotButton="0" quotePrefix="0" xfId="0">
      <alignment vertical="top" wrapText="1"/>
    </xf>
    <xf numFmtId="0" fontId="16" fillId="0" borderId="7" applyAlignment="1" pivotButton="0" quotePrefix="0" xfId="0">
      <alignment horizontal="center" vertical="center"/>
    </xf>
    <xf numFmtId="0" fontId="18" fillId="0" borderId="7" pivotButton="0" quotePrefix="0" xfId="0"/>
    <xf numFmtId="0" fontId="2" fillId="0" borderId="6" applyAlignment="1" pivotButton="0" quotePrefix="0" xfId="0">
      <alignment vertical="top" wrapText="1"/>
    </xf>
    <xf numFmtId="2" fontId="0" fillId="0" borderId="0" pivotButton="0" quotePrefix="0" xfId="0"/>
    <xf numFmtId="0" fontId="11" fillId="0" borderId="7" applyAlignment="1" pivotButton="0" quotePrefix="0" xfId="0">
      <alignment horizontal="right"/>
    </xf>
    <xf numFmtId="2" fontId="17" fillId="0" borderId="7" applyAlignment="1" pivotButton="0" quotePrefix="0" xfId="0">
      <alignment horizontal="center" vertical="center"/>
    </xf>
    <xf numFmtId="0" fontId="0" fillId="0" borderId="4" applyAlignment="1" pivotButton="0" quotePrefix="0" xfId="0">
      <alignment horizontal="center"/>
    </xf>
    <xf numFmtId="0" fontId="0" fillId="0" borderId="5" applyAlignment="1" pivotButton="0" quotePrefix="0" xfId="0">
      <alignment horizontal="center"/>
    </xf>
    <xf numFmtId="0" fontId="20" fillId="0" borderId="0" applyAlignment="1" pivotButton="0" quotePrefix="0" xfId="0">
      <alignment vertical="center"/>
    </xf>
    <xf numFmtId="0" fontId="0" fillId="0" borderId="0" applyAlignment="1" pivotButton="0" quotePrefix="0" xfId="0">
      <alignment horizontal="left" vertical="center" indent="1"/>
    </xf>
    <xf numFmtId="0" fontId="19" fillId="0" borderId="0" applyAlignment="1" pivotButton="0" quotePrefix="0" xfId="0">
      <alignment horizontal="left" vertical="center" indent="1"/>
    </xf>
    <xf numFmtId="0" fontId="21" fillId="14" borderId="4" applyAlignment="1" pivotButton="0" quotePrefix="0" xfId="0">
      <alignment horizontal="center" vertical="center" wrapText="1"/>
    </xf>
    <xf numFmtId="0" fontId="22" fillId="15" borderId="16" applyAlignment="1" pivotButton="0" quotePrefix="0" xfId="0">
      <alignment horizontal="center" vertical="center"/>
    </xf>
    <xf numFmtId="0" fontId="23" fillId="16" borderId="16" applyAlignment="1" pivotButton="0" quotePrefix="0" xfId="0">
      <alignment horizontal="center" vertical="center"/>
    </xf>
    <xf numFmtId="0" fontId="5" fillId="7" borderId="7" applyAlignment="1" pivotButton="0" quotePrefix="0" xfId="0">
      <alignment horizontal="center" vertical="center"/>
    </xf>
    <xf numFmtId="0" fontId="6" fillId="7" borderId="7" applyAlignment="1" pivotButton="0" quotePrefix="0" xfId="0">
      <alignment horizontal="center" vertical="center"/>
    </xf>
    <xf numFmtId="0" fontId="0" fillId="0" borderId="9" pivotButton="0" quotePrefix="0" xfId="0"/>
    <xf numFmtId="0" fontId="0" fillId="0" borderId="11" pivotButton="0" quotePrefix="0" xfId="0"/>
    <xf numFmtId="0" fontId="0" fillId="0" borderId="13" pivotButton="0" quotePrefix="0" xfId="0"/>
    <xf numFmtId="0" fontId="5" fillId="12" borderId="7" applyAlignment="1" pivotButton="0" quotePrefix="0" xfId="0">
      <alignment horizontal="center" vertical="center"/>
    </xf>
    <xf numFmtId="0" fontId="0" fillId="0" borderId="14" pivotButton="0" quotePrefix="0" xfId="0"/>
    <xf numFmtId="0" fontId="0" fillId="0" borderId="10" pivotButton="0" quotePrefix="0" xfId="0"/>
    <xf numFmtId="0" fontId="5" fillId="7" borderId="7" applyAlignment="1" pivotButton="0" quotePrefix="0" xfId="0">
      <alignment horizontal="center" vertical="center" wrapText="1"/>
    </xf>
    <xf numFmtId="0" fontId="7" fillId="8" borderId="6" applyAlignment="1" pivotButton="0" quotePrefix="0" xfId="0">
      <alignment horizontal="center" vertical="center"/>
    </xf>
    <xf numFmtId="0" fontId="0" fillId="0" borderId="0" pivotButton="0" quotePrefix="0" xfId="0"/>
    <xf numFmtId="0" fontId="13" fillId="11" borderId="7" applyAlignment="1" pivotButton="0" quotePrefix="0" xfId="0">
      <alignment horizontal="center" vertical="center"/>
    </xf>
    <xf numFmtId="0" fontId="0" fillId="0" borderId="8" pivotButton="0" quotePrefix="0" xfId="0"/>
    <xf numFmtId="0" fontId="0" fillId="0" borderId="12" pivotButton="0" quotePrefix="0" xfId="0"/>
    <xf numFmtId="0" fontId="12" fillId="10" borderId="7" applyAlignment="1" pivotButton="0" quotePrefix="0" xfId="0">
      <alignment horizontal="center" vertical="center"/>
    </xf>
    <xf numFmtId="0" fontId="0" fillId="0" borderId="15" pivotButton="0" quotePrefix="0" xfId="0"/>
    <xf numFmtId="0" fontId="5" fillId="11" borderId="7" applyAlignment="1" pivotButton="0" quotePrefix="0" xfId="0">
      <alignment horizontal="center" vertical="center"/>
    </xf>
    <xf numFmtId="0" fontId="14" fillId="12" borderId="7" applyAlignment="1" pivotButton="0" quotePrefix="0" xfId="0">
      <alignment horizontal="center" vertical="center"/>
    </xf>
    <xf numFmtId="2" fontId="6" fillId="7" borderId="7" applyAlignment="1" pivotButton="0" quotePrefix="0" xfId="0">
      <alignment horizontal="center" vertical="center"/>
    </xf>
    <xf numFmtId="0" fontId="5" fillId="10" borderId="7" applyAlignment="1" pivotButton="0" quotePrefix="0" xfId="0">
      <alignment horizontal="center" vertical="center"/>
    </xf>
    <xf numFmtId="0" fontId="8" fillId="0" borderId="12" applyAlignment="1" pivotButton="0" quotePrefix="0" xfId="0">
      <alignment horizontal="right"/>
    </xf>
    <xf numFmtId="0" fontId="9" fillId="9" borderId="7" applyAlignment="1" pivotButton="0" quotePrefix="0" xfId="0">
      <alignment horizontal="right" vertical="center"/>
    </xf>
    <xf numFmtId="0" fontId="11" fillId="0" borderId="7" applyAlignment="1" pivotButton="0" quotePrefix="0" xfId="0">
      <alignment horizontal="right"/>
    </xf>
    <xf numFmtId="0" fontId="7" fillId="13" borderId="6" applyAlignment="1" pivotButton="0" quotePrefix="0" xfId="0">
      <alignment horizontal="center" vertical="center"/>
    </xf>
    <xf numFmtId="0" fontId="0"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0" borderId="21" pivotButton="0" quotePrefix="0" xfId="0"/>
    <xf numFmtId="0" fontId="24" fillId="0" borderId="21" pivotButton="0" quotePrefix="0" xfId="0"/>
    <xf numFmtId="2" fontId="2" fillId="0" borderId="21" pivotButton="0" quotePrefix="0" xfId="0"/>
    <xf numFmtId="0" fontId="25" fillId="0" borderId="21" pivotButton="0" quotePrefix="0" xfId="0"/>
    <xf numFmtId="0" fontId="2" fillId="0" borderId="21" applyAlignment="1" pivotButton="0" quotePrefix="0" xfId="0">
      <alignment horizontal="center" vertical="center"/>
    </xf>
    <xf numFmtId="0" fontId="26" fillId="17" borderId="22" applyAlignment="1" pivotButton="0" quotePrefix="0" xfId="0">
      <alignment horizontal="center" vertical="center"/>
    </xf>
    <xf numFmtId="0" fontId="0" fillId="17" borderId="22" pivotButton="0" quotePrefix="0" xfId="0"/>
    <xf numFmtId="0" fontId="27" fillId="17" borderId="22" applyAlignment="1" pivotButton="0" quotePrefix="0" xfId="0">
      <alignment horizontal="center" vertical="center"/>
    </xf>
    <xf numFmtId="2" fontId="27" fillId="17" borderId="22" applyAlignment="1" pivotButton="0" quotePrefix="0" xfId="0">
      <alignment horizontal="center" vertical="center"/>
    </xf>
    <xf numFmtId="0" fontId="2" fillId="0" borderId="21" applyAlignment="1" pivotButton="0" quotePrefix="0" xfId="0">
      <alignment horizontal="center"/>
    </xf>
    <xf numFmtId="0" fontId="28" fillId="18" borderId="21" applyAlignment="1" pivotButton="0" quotePrefix="0" xfId="0">
      <alignment horizontal="center" vertical="center"/>
    </xf>
    <xf numFmtId="0" fontId="0" fillId="0" borderId="6" pivotButton="0" quotePrefix="0" xfId="0"/>
    <xf numFmtId="0" fontId="29" fillId="0" borderId="21" applyAlignment="1" pivotButton="0" quotePrefix="0" xfId="0">
      <alignment horizontal="right"/>
    </xf>
    <xf numFmtId="0" fontId="30" fillId="19" borderId="22" applyAlignment="1" pivotButton="0" quotePrefix="0" xfId="0">
      <alignment horizontal="left" vertical="center"/>
    </xf>
    <xf numFmtId="0" fontId="0" fillId="0" borderId="22" pivotButton="0" quotePrefix="0" xfId="0"/>
    <xf numFmtId="9" fontId="2" fillId="0" borderId="21" applyAlignment="1" pivotButton="0" quotePrefix="0" xfId="0">
      <alignment horizontal="center" vertical="center"/>
    </xf>
    <xf numFmtId="2" fontId="28" fillId="18" borderId="22" applyAlignment="1" pivotButton="0" quotePrefix="0" xfId="0">
      <alignment horizontal="center" vertical="center"/>
    </xf>
    <xf numFmtId="0" fontId="28" fillId="18" borderId="22" applyAlignment="1" pivotButton="0" quotePrefix="0" xfId="0">
      <alignment horizontal="center" vertical="center"/>
    </xf>
    <xf numFmtId="9" fontId="2" fillId="0" borderId="21" applyAlignment="1" pivotButton="0" quotePrefix="0" xfId="0">
      <alignment horizontal="center"/>
    </xf>
    <xf numFmtId="2" fontId="10" fillId="0" borderId="22" applyAlignment="1" pivotButton="0" quotePrefix="0" xfId="0">
      <alignment horizontal="center"/>
    </xf>
    <xf numFmtId="2" fontId="2" fillId="0" borderId="22" applyAlignment="1" pivotButton="0" quotePrefix="0" xfId="0">
      <alignment horizontal="center"/>
    </xf>
    <xf numFmtId="2" fontId="11" fillId="0" borderId="22" applyAlignment="1" pivotButton="0" quotePrefix="0" xfId="0">
      <alignment horizontal="center"/>
    </xf>
    <xf numFmtId="0" fontId="11" fillId="0" borderId="22" applyAlignment="1" pivotButton="0" quotePrefix="0" xfId="0">
      <alignment horizontal="center"/>
    </xf>
    <xf numFmtId="0" fontId="2" fillId="0" borderId="21" applyAlignment="1" pivotButton="0" quotePrefix="0" xfId="0">
      <alignment horizontal="right"/>
    </xf>
    <xf numFmtId="0" fontId="11" fillId="0" borderId="22" pivotButton="0" quotePrefix="0" xfId="0"/>
    <xf numFmtId="0" fontId="28" fillId="20" borderId="21" applyAlignment="1" pivotButton="0" quotePrefix="0" xfId="0">
      <alignment horizontal="center" vertical="center"/>
    </xf>
    <xf numFmtId="0" fontId="2" fillId="0" borderId="21" applyAlignment="1" pivotButton="0" quotePrefix="0" xfId="0">
      <alignment vertical="top" wrapText="1"/>
    </xf>
    <xf numFmtId="0" fontId="31" fillId="0" borderId="22" applyAlignment="1" pivotButton="0" quotePrefix="0" xfId="0">
      <alignment horizontal="center" vertical="center"/>
    </xf>
    <xf numFmtId="2" fontId="32" fillId="0" borderId="22" applyAlignment="1" pivotButton="0" quotePrefix="0" xfId="0">
      <alignment horizontal="center" vertical="center"/>
    </xf>
    <xf numFmtId="2" fontId="33" fillId="0" borderId="22" pivotButton="0" quotePrefix="0" xfId="0"/>
    <xf numFmtId="0" fontId="34" fillId="0" borderId="22" pivotButton="0" quotePrefix="0" xfId="0"/>
    <xf numFmtId="0" fontId="35" fillId="21" borderId="23" applyAlignment="1" pivotButton="0" quotePrefix="0" xfId="0">
      <alignment horizontal="center" vertical="center"/>
    </xf>
    <xf numFmtId="0" fontId="36" fillId="22" borderId="23" applyAlignment="1" pivotButton="0" quotePrefix="0" xfId="0">
      <alignment horizontal="center" vertical="center"/>
    </xf>
  </cellXfs>
  <cellStyles count="1">
    <cellStyle name="Normal" xfId="0" builtinId="0"/>
  </cellStyles>
  <dxfs count="33">
    <dxf>
      <font>
        <name val="Arial"/>
        <b val="1"/>
        <color rgb="FF721C24"/>
        <sz val="10"/>
      </font>
      <fill>
        <patternFill patternType="solid">
          <fgColor rgb="FFF8D7DA"/>
          <bgColor rgb="FFF8D7DA"/>
        </patternFill>
      </fill>
    </dxf>
    <dxf>
      <font>
        <name val="Arial"/>
        <b val="1"/>
        <color rgb="FF155724"/>
        <sz val="10"/>
      </font>
      <fill>
        <patternFill patternType="solid">
          <fgColor rgb="FFD4EDDA"/>
          <bgColor rgb="FFD4EDDA"/>
        </patternFill>
      </fill>
    </dxf>
    <dxf>
      <font>
        <name val="Arial"/>
        <b val="1"/>
        <color rgb="FF721C24"/>
        <sz val="10"/>
      </font>
      <fill>
        <patternFill patternType="solid">
          <fgColor rgb="FFF8D7DA"/>
          <bgColor rgb="FFF8D7DA"/>
        </patternFill>
      </fill>
    </dxf>
    <dxf>
      <font>
        <name val="Arial"/>
        <b val="1"/>
        <color rgb="FF721C24"/>
        <sz val="10"/>
      </font>
      <fill>
        <patternFill patternType="solid">
          <fgColor rgb="FFF8D7DA"/>
          <bgColor rgb="FFF8D7DA"/>
        </patternFill>
      </fill>
    </dxf>
    <dxf>
      <font>
        <name val="Arial"/>
        <b val="1"/>
        <color rgb="FF155724"/>
        <sz val="10"/>
      </font>
      <fill>
        <patternFill patternType="solid">
          <fgColor rgb="FFD4EDDA"/>
          <bgColor rgb="FFD4EDDA"/>
        </patternFill>
      </fill>
    </dxf>
    <dxf>
      <font>
        <name val="Arial"/>
        <b val="1"/>
        <color rgb="FF721C24"/>
        <sz val="10"/>
      </font>
      <fill>
        <patternFill patternType="solid">
          <fgColor rgb="FFF8D7DA"/>
          <bgColor rgb="FFF8D7DA"/>
        </patternFill>
      </fill>
    </dxf>
    <dxf>
      <font>
        <name val="Arial"/>
        <b val="1"/>
        <color rgb="FF155724"/>
        <sz val="10"/>
      </font>
      <fill>
        <patternFill patternType="solid">
          <fgColor rgb="FFD4EDDA"/>
          <bgColor rgb="FFD4EDDA"/>
        </patternFill>
      </fill>
    </dxf>
    <dxf>
      <font>
        <color rgb="FF9C5700"/>
      </font>
      <fill>
        <patternFill>
          <bgColor rgb="FFFFEB9C"/>
        </patternFill>
      </fill>
    </dxf>
    <dxf>
      <font>
        <name val="Arial"/>
        <b val="1"/>
        <color rgb="FF721C24"/>
        <sz val="10"/>
      </font>
      <fill>
        <patternFill patternType="solid">
          <fgColor rgb="FFF8D7DA"/>
          <bgColor rgb="FFF8D7DA"/>
        </patternFill>
      </fill>
    </dxf>
    <dxf>
      <font>
        <name val="Arial"/>
        <b val="1"/>
        <color rgb="FF155724"/>
        <sz val="10"/>
      </font>
      <fill>
        <patternFill patternType="solid">
          <fgColor rgb="FFD4EDDA"/>
          <bgColor rgb="FFD4EDDA"/>
        </patternFill>
      </fill>
    </dxf>
    <dxf>
      <font>
        <name val="Arial"/>
        <b val="1"/>
        <color rgb="FF721C24"/>
        <sz val="10"/>
      </font>
      <fill>
        <patternFill patternType="solid">
          <fgColor rgb="FFF8D7DA"/>
          <bgColor rgb="FFF8D7DA"/>
        </patternFill>
      </fill>
    </dxf>
    <dxf>
      <font>
        <name val="Arial"/>
        <b val="1"/>
        <color rgb="FF155724"/>
        <sz val="10"/>
      </font>
      <fill>
        <patternFill patternType="solid">
          <fgColor rgb="FFD4EDDA"/>
          <bgColor rgb="FFD4EDDA"/>
        </patternFill>
      </fill>
    </dxf>
    <dxf>
      <font>
        <color rgb="FF9C5700"/>
      </font>
      <fill>
        <patternFill>
          <bgColor rgb="FFFFEB9C"/>
        </patternFill>
      </fill>
    </dxf>
    <dxf>
      <font>
        <name val="Arial"/>
        <b val="1"/>
        <color rgb="FF721C24"/>
        <sz val="10"/>
      </font>
      <fill>
        <patternFill patternType="solid">
          <fgColor rgb="FFF8D7DA"/>
          <bgColor rgb="FFF8D7DA"/>
        </patternFill>
      </fill>
    </dxf>
    <dxf>
      <font>
        <name val="Arial"/>
        <b val="1"/>
        <color rgb="FF155724"/>
        <sz val="10"/>
      </font>
      <fill>
        <patternFill patternType="solid">
          <fgColor rgb="FFD4EDDA"/>
          <bgColor rgb="FFD4EDDA"/>
        </patternFill>
      </fill>
    </dxf>
    <dxf>
      <font>
        <name val="Arial"/>
        <b val="1"/>
        <color rgb="FF721C24"/>
        <sz val="10"/>
      </font>
      <fill>
        <patternFill patternType="solid">
          <fgColor rgb="FFF8D7DA"/>
          <bgColor rgb="FFF8D7DA"/>
        </patternFill>
      </fill>
    </dxf>
    <dxf>
      <font>
        <name val="Arial"/>
        <b val="1"/>
        <color rgb="FF155724"/>
        <sz val="10"/>
      </font>
      <fill>
        <patternFill patternType="solid">
          <fgColor rgb="FFD4EDDA"/>
          <bgColor rgb="FFD4EDDA"/>
        </patternFill>
      </fill>
    </dxf>
    <dxf>
      <font>
        <color rgb="FF9C5700"/>
      </font>
      <fill>
        <patternFill>
          <bgColor rgb="FFFFEB9C"/>
        </patternFill>
      </fill>
    </dxf>
    <dxf>
      <font>
        <name val="Arial"/>
        <b val="1"/>
        <color rgb="FF721C24"/>
        <sz val="10"/>
      </font>
      <fill>
        <patternFill patternType="solid">
          <fgColor rgb="FFF8D7DA"/>
          <bgColor rgb="FFF8D7DA"/>
        </patternFill>
      </fill>
    </dxf>
    <dxf>
      <font>
        <name val="Arial"/>
        <b val="1"/>
        <color rgb="FF155724"/>
        <sz val="10"/>
      </font>
      <fill>
        <patternFill patternType="solid">
          <fgColor rgb="FFD4EDDA"/>
          <bgColor rgb="FFD4EDDA"/>
        </patternFill>
      </fill>
    </dxf>
    <dxf>
      <font>
        <name val="Arial"/>
        <b val="1"/>
        <color rgb="FF721C24"/>
        <sz val="10"/>
      </font>
      <fill>
        <patternFill patternType="solid">
          <fgColor rgb="FFF8D7DA"/>
          <bgColor rgb="FFF8D7DA"/>
        </patternFill>
      </fill>
    </dxf>
    <dxf>
      <font>
        <name val="Arial"/>
        <b val="1"/>
        <color rgb="FF155724"/>
        <sz val="10"/>
      </font>
      <fill>
        <patternFill patternType="solid">
          <fgColor rgb="FFD4EDDA"/>
          <bgColor rgb="FFD4EDDA"/>
        </patternFill>
      </fill>
    </dxf>
    <dxf>
      <font>
        <color rgb="FF9C5700"/>
      </font>
      <fill>
        <patternFill>
          <bgColor rgb="FFFFEB9C"/>
        </patternFill>
      </fill>
    </dxf>
    <dxf>
      <font>
        <name val="Arial"/>
        <b val="1"/>
        <color rgb="FF721C24"/>
        <sz val="10"/>
      </font>
      <fill>
        <patternFill patternType="solid">
          <fgColor rgb="FFF8D7DA"/>
          <bgColor rgb="FFF8D7DA"/>
        </patternFill>
      </fill>
    </dxf>
    <dxf>
      <font>
        <name val="Arial"/>
        <b val="1"/>
        <color rgb="FF155724"/>
        <sz val="10"/>
      </font>
      <fill>
        <patternFill patternType="solid">
          <fgColor rgb="FFD4EDDA"/>
          <bgColor rgb="FFD4EDDA"/>
        </patternFill>
      </fill>
    </dxf>
    <dxf>
      <font>
        <name val="Arial"/>
        <b val="1"/>
        <color rgb="FF721C24"/>
        <sz val="10"/>
      </font>
      <fill>
        <patternFill patternType="solid">
          <fgColor rgb="FFF8D7DA"/>
          <bgColor rgb="FFF8D7DA"/>
        </patternFill>
      </fill>
    </dxf>
    <dxf>
      <font>
        <name val="Arial"/>
        <b val="1"/>
        <color rgb="FF155724"/>
        <sz val="10"/>
      </font>
      <fill>
        <patternFill patternType="solid">
          <fgColor rgb="FFD4EDDA"/>
          <bgColor rgb="FFD4EDDA"/>
        </patternFill>
      </fill>
    </dxf>
    <dxf>
      <font>
        <name val="Arial"/>
        <b val="1"/>
        <color rgb="FF721C24"/>
        <sz val="10"/>
      </font>
      <fill>
        <patternFill patternType="solid">
          <fgColor rgb="FFF8D7DA"/>
          <bgColor rgb="FFF8D7DA"/>
        </patternFill>
      </fill>
    </dxf>
    <dxf>
      <font>
        <name val="Arial"/>
        <b val="1"/>
        <color rgb="FF155724"/>
        <sz val="10"/>
      </font>
      <fill>
        <patternFill patternType="solid">
          <fgColor rgb="FFD4EDDA"/>
          <bgColor rgb="FFD4EDDA"/>
        </patternFill>
      </fill>
    </dxf>
    <dxf>
      <font>
        <name val="Arial"/>
        <b val="1"/>
        <color rgb="FF721C24"/>
        <sz val="10"/>
      </font>
      <fill>
        <patternFill patternType="solid">
          <fgColor rgb="FFF8D7DA"/>
          <bgColor rgb="FFF8D7DA"/>
        </patternFill>
      </fill>
    </dxf>
    <dxf>
      <font>
        <name val="Arial"/>
        <b val="1"/>
        <color rgb="FF155724"/>
        <sz val="10"/>
      </font>
      <fill>
        <patternFill patternType="solid">
          <fgColor rgb="FFD4EDDA"/>
          <bgColor rgb="FFD4EDDA"/>
        </patternFill>
      </fill>
    </dxf>
    <dxf>
      <font>
        <name val="Arial"/>
        <b val="1"/>
        <color rgb="FF721C24"/>
        <sz val="10"/>
      </font>
      <fill>
        <patternFill patternType="solid">
          <fgColor rgb="FFF8D7DA"/>
          <bgColor rgb="FFF8D7DA"/>
        </patternFill>
      </fill>
    </dxf>
    <dxf>
      <font>
        <name val="Arial"/>
        <b val="1"/>
        <color rgb="FF155724"/>
        <sz val="10"/>
      </font>
      <fill>
        <patternFill patternType="solid">
          <fgColor rgb="FFD4EDDA"/>
          <bgColor rgb="FFD4ED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10"/>
  <chart>
    <title>
      <tx>
        <rich>
          <a:bodyPr/>
          <a:p>
            <a:pPr>
              <a:defRPr/>
            </a:pPr>
            <a:r>
              <a:t>RENDIMIENTO INDIVIDUAL POR CORTE ACADÉMICO</a:t>
            </a:r>
          </a:p>
        </rich>
      </tx>
    </title>
    <plotArea>
      <barChart>
        <barDir val="col"/>
        <grouping val="clustered"/>
        <ser>
          <idx val="0"/>
          <order val="0"/>
          <tx>
            <strRef>
              <f>'Dashboard'!D14</f>
            </strRef>
          </tx>
          <spPr>
            <a:ln>
              <a:prstDash val="solid"/>
            </a:ln>
          </spPr>
          <cat>
            <numRef>
              <f>'Dashboard'!$B$15:$B$17</f>
            </numRef>
          </cat>
          <val>
            <numRef>
              <f>'Dashboard'!$D$15:$D$17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Calificación (0.0 - 5.0)</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3"/>
  <chart>
    <title>
      <tx>
        <rich>
          <a:bodyPr/>
          <a:p>
            <a:pPr>
              <a:defRPr/>
            </a:pPr>
            <a:r>
              <a:t>ANÁLISIS COMPARATIVO: ESTUDIANTE VS PROMEDIO DEL GRUPO POR RAP</a:t>
            </a:r>
          </a:p>
        </rich>
      </tx>
    </title>
    <plotArea>
      <lineChart>
        <grouping val="standard"/>
        <ser>
          <idx val="0"/>
          <order val="0"/>
          <tx>
            <strRef>
              <f>'Dashboard'!AF1</f>
            </strRef>
          </tx>
          <spPr>
            <a:ln>
              <a:prstDash val="solid"/>
            </a:ln>
          </spPr>
          <marker>
            <symbol val="none"/>
            <spPr>
              <a:ln>
                <a:prstDash val="solid"/>
              </a:ln>
            </spPr>
          </marker>
          <cat>
            <numRef>
              <f>'Dashboard'!$AE$2:$AE$4</f>
            </numRef>
          </cat>
          <val>
            <numRef>
              <f>'Dashboard'!$AF$2:$AF$4</f>
            </numRef>
          </val>
        </ser>
        <ser>
          <idx val="1"/>
          <order val="1"/>
          <tx>
            <strRef>
              <f>'Dashboard'!AG1</f>
            </strRef>
          </tx>
          <spPr>
            <a:ln>
              <a:prstDash val="solid"/>
            </a:ln>
          </spPr>
          <marker>
            <symbol val="none"/>
            <spPr>
              <a:ln>
                <a:prstDash val="solid"/>
              </a:ln>
            </spPr>
          </marker>
          <cat>
            <numRef>
              <f>'Dashboard'!$AE$2:$AE$4</f>
            </numRef>
          </cat>
          <val>
            <numRef>
              <f>'Dashboard'!$AG$2:$AG$4</f>
            </numRef>
          </val>
        </ser>
        <axId val="10"/>
        <axId val="100"/>
      </lineChart>
      <catAx>
        <axId val="10"/>
        <scaling>
          <orientation val="minMax"/>
        </scaling>
        <axPos val="l"/>
        <title>
          <tx>
            <rich>
              <a:bodyPr/>
              <a:p>
                <a:pPr>
                  <a:defRPr/>
                </a:pPr>
                <a:r>
                  <a:t>Resultados de Aprendizaje (RAP)</a:t>
                </a:r>
              </a:p>
            </rich>
          </tx>
        </title>
        <majorTickMark val="none"/>
        <minorTickMark val="none"/>
        <crossAx val="100"/>
        <lblOffset val="100"/>
      </catAx>
      <valAx>
        <axId val="100"/>
        <scaling>
          <orientation val="minMax"/>
        </scaling>
        <axPos val="l"/>
        <majorGridlines/>
        <title>
          <tx>
            <rich>
              <a:bodyPr/>
              <a:p>
                <a:pPr>
                  <a:defRPr/>
                </a:pPr>
                <a:r>
                  <a:t>Calificación Académica</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3</row>
      <rowOff>0</rowOff>
    </from>
    <ext cx="3960000" cy="2232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24</row>
      <rowOff>0</rowOff>
    </from>
    <ext cx="7020000" cy="27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H44"/>
  <sheetViews>
    <sheetView showGridLines="1" tabSelected="1" workbookViewId="0">
      <selection activeCell="P19" sqref="P19"/>
    </sheetView>
  </sheetViews>
  <sheetFormatPr baseColWidth="10" defaultColWidth="8.88671875" defaultRowHeight="14.4"/>
  <cols>
    <col width="30.44140625" customWidth="1" style="56" min="1" max="1"/>
    <col width="9.44140625" bestFit="1" customWidth="1" style="56" min="2" max="2"/>
    <col width="15.33203125" customWidth="1" style="56" min="3" max="3"/>
    <col hidden="1" width="12" customWidth="1" style="56" min="4" max="5"/>
    <col width="14.21875" customWidth="1" style="56" min="6" max="6"/>
    <col width="13.44140625" customWidth="1" style="56" min="7" max="7"/>
  </cols>
  <sheetData>
    <row r="1" ht="16.8" customHeight="1" s="56">
      <c r="A1" s="73" t="n"/>
      <c r="B1" s="73" t="n"/>
      <c r="C1" s="73" t="n"/>
      <c r="D1" s="73" t="n"/>
      <c r="E1" s="73" t="n"/>
      <c r="F1" s="73" t="n"/>
      <c r="G1" s="73" t="n"/>
      <c r="H1" s="73" t="n"/>
      <c r="I1" s="73" t="n"/>
      <c r="J1" s="73" t="n"/>
      <c r="K1" s="73" t="n"/>
      <c r="L1" s="73" t="n"/>
      <c r="M1" s="73" t="n"/>
      <c r="N1" s="73" t="n"/>
      <c r="O1" s="73" t="n"/>
      <c r="P1" s="73" t="n"/>
      <c r="Q1" s="73" t="n"/>
      <c r="R1" s="73" t="n"/>
      <c r="S1" s="73" t="n"/>
      <c r="T1" s="73" t="n"/>
      <c r="U1" s="73" t="n"/>
      <c r="V1" s="73" t="n"/>
      <c r="W1" s="73" t="n"/>
      <c r="X1" s="73" t="n"/>
      <c r="Y1" s="73" t="n"/>
      <c r="Z1" s="73" t="n"/>
      <c r="AA1" s="73" t="n"/>
      <c r="AB1" s="73" t="n"/>
      <c r="AC1" s="73" t="n"/>
      <c r="AD1" s="73" t="n"/>
      <c r="AE1" s="73" t="inlineStr">
        <is>
          <t>Componente</t>
        </is>
      </c>
      <c r="AF1" s="73" t="inlineStr">
        <is>
          <t>Promedio Grupo</t>
        </is>
      </c>
      <c r="AG1" s="73" t="inlineStr">
        <is>
          <t>Estudiante Seleccionado</t>
        </is>
      </c>
      <c r="AH1" s="73" t="n"/>
    </row>
    <row r="2" ht="23.4" customHeight="1" s="56">
      <c r="A2" s="74" t="inlineStr">
        <is>
          <t>Dashboard de Rendimiento Académico</t>
        </is>
      </c>
      <c r="B2" s="73" t="n"/>
      <c r="C2" s="73" t="n"/>
      <c r="D2" s="73" t="n"/>
      <c r="E2" s="73" t="n"/>
      <c r="F2" s="73" t="n"/>
      <c r="G2" s="73" t="n"/>
      <c r="H2" s="73" t="n"/>
      <c r="I2" s="73" t="n"/>
      <c r="J2" s="73" t="n"/>
      <c r="K2" s="73" t="n"/>
      <c r="L2" s="73" t="n"/>
      <c r="M2" s="73" t="n"/>
      <c r="N2" s="73" t="n"/>
      <c r="O2" s="73" t="n"/>
      <c r="P2" s="73" t="n"/>
      <c r="Q2" s="73" t="n"/>
      <c r="R2" s="73" t="n"/>
      <c r="S2" s="73" t="n"/>
      <c r="T2" s="73" t="n"/>
      <c r="U2" s="73" t="n"/>
      <c r="V2" s="73" t="n"/>
      <c r="W2" s="73" t="n"/>
      <c r="X2" s="73" t="n"/>
      <c r="Y2" s="73" t="n"/>
      <c r="Z2" s="73" t="n"/>
      <c r="AA2" s="75" t="n"/>
      <c r="AB2" s="73" t="n"/>
      <c r="AC2" s="73" t="n"/>
      <c r="AD2" s="73" t="n"/>
      <c r="AE2" s="75" t="inlineStr">
        <is>
          <t>RAP 1: Fundamentos (C1)</t>
        </is>
      </c>
      <c r="AF2" s="75">
        <f>AVERAGE(Base_Notas!G2:G100)</f>
        <v/>
      </c>
      <c r="AG2" s="75">
        <f>VLOOKUP($A$12, Base_Notas!$B$2:$V$100, 6, FALSE)</f>
        <v/>
      </c>
      <c r="AH2" s="73" t="n"/>
    </row>
    <row r="3" ht="16.8" customHeight="1" s="56">
      <c r="A3" s="76" t="inlineStr">
        <is>
          <t>Control de Calificaciones y Asistencia</t>
        </is>
      </c>
      <c r="B3" s="73" t="n"/>
      <c r="C3" s="73" t="n"/>
      <c r="D3" s="73" t="n"/>
      <c r="E3" s="73" t="n"/>
      <c r="F3" s="73" t="n"/>
      <c r="G3" s="73" t="n"/>
      <c r="H3" s="73" t="n"/>
      <c r="I3" s="73" t="n"/>
      <c r="J3" s="73" t="n"/>
      <c r="K3" s="73" t="n"/>
      <c r="L3" s="73" t="n"/>
      <c r="M3" s="73" t="n"/>
      <c r="N3" s="73" t="n"/>
      <c r="O3" s="73" t="n"/>
      <c r="P3" s="73" t="n"/>
      <c r="Q3" s="73" t="n"/>
      <c r="R3" s="73" t="n"/>
      <c r="S3" s="73" t="n"/>
      <c r="T3" s="73" t="n"/>
      <c r="U3" s="73" t="n"/>
      <c r="V3" s="73" t="n"/>
      <c r="W3" s="73" t="n"/>
      <c r="X3" s="73" t="n"/>
      <c r="Y3" s="73" t="n"/>
      <c r="Z3" s="73" t="n"/>
      <c r="AA3" s="75" t="n"/>
      <c r="AB3" s="73" t="n"/>
      <c r="AC3" s="73" t="n"/>
      <c r="AD3" s="73" t="n"/>
      <c r="AE3" s="75" t="inlineStr">
        <is>
          <t>RAP 2: Aplicación (C2)</t>
        </is>
      </c>
      <c r="AF3" s="75">
        <f>AVERAGE(Base_Notas!M2:M100)</f>
        <v/>
      </c>
      <c r="AG3" s="75">
        <f>VLOOKUP($A$12, Base_Notas!$B$2:$V$100, 12, FALSE)</f>
        <v/>
      </c>
      <c r="AH3" s="73" t="n"/>
    </row>
    <row r="4" ht="32.4" customHeight="1" s="56">
      <c r="A4" s="77" t="n"/>
      <c r="B4" s="78" t="inlineStr">
        <is>
          <t>TOTAL ESTUDIANTES</t>
        </is>
      </c>
      <c r="C4" s="79" t="n"/>
      <c r="D4" s="78" t="inlineStr">
        <is>
          <t>PROMEDIO GENERAL CURSO</t>
        </is>
      </c>
      <c r="E4" s="79" t="n"/>
      <c r="F4" s="78" t="inlineStr">
        <is>
          <t>ESTUDIANTES APROBADOS</t>
        </is>
      </c>
      <c r="G4" s="79" t="n"/>
      <c r="H4" s="78" t="inlineStr">
        <is>
          <t>REPROBADOS</t>
        </is>
      </c>
      <c r="I4" s="73" t="n"/>
      <c r="J4" s="73" t="n"/>
      <c r="K4" s="73" t="n"/>
      <c r="L4" s="73" t="n"/>
      <c r="M4" s="73" t="n"/>
      <c r="N4" s="73" t="n"/>
      <c r="O4" s="73" t="n"/>
      <c r="P4" s="73" t="n"/>
      <c r="Q4" s="73" t="n"/>
      <c r="R4" s="73" t="n"/>
      <c r="S4" s="73" t="n"/>
      <c r="T4" s="73" t="n"/>
      <c r="U4" s="73" t="n"/>
      <c r="V4" s="73" t="n"/>
      <c r="W4" s="73" t="n"/>
      <c r="X4" s="73" t="n"/>
      <c r="Y4" s="73" t="n"/>
      <c r="Z4" s="73" t="n"/>
      <c r="AA4" s="75" t="n"/>
      <c r="AB4" s="73" t="n"/>
      <c r="AC4" s="73" t="n"/>
      <c r="AD4" s="73" t="n"/>
      <c r="AE4" s="75" t="inlineStr">
        <is>
          <t>RAP 3: Integración (C3)</t>
        </is>
      </c>
      <c r="AF4" s="75">
        <f>AVERAGE(Base_Notas!S2:S100)</f>
        <v/>
      </c>
      <c r="AG4" s="75">
        <f>VLOOKUP($A$12, Base_Notas!$B$2:$V$100, 18, FALSE)</f>
        <v/>
      </c>
      <c r="AH4" s="73" t="n"/>
    </row>
    <row r="5" ht="16.8" customHeight="1" s="56">
      <c r="A5" s="77" t="n"/>
      <c r="B5" s="80">
        <f>COUNTA(Base_Notas!B2:B100)</f>
        <v/>
      </c>
      <c r="C5" s="79" t="n"/>
      <c r="D5" s="81">
        <f>AVERAGE(Base_Notas!U2:U100)</f>
        <v/>
      </c>
      <c r="E5" s="79" t="n"/>
      <c r="F5" s="80">
        <f>COUNTIF(Base_Notas!V2:V100, "Cumple Objetivos")</f>
        <v/>
      </c>
      <c r="G5" s="79" t="n"/>
      <c r="H5" s="80">
        <f>COUNTIF(Base_Notas!V2:V100, "No Cumple")</f>
        <v/>
      </c>
      <c r="I5" s="73" t="n"/>
      <c r="J5" s="73" t="n"/>
      <c r="K5" s="73" t="n"/>
      <c r="L5" s="73" t="n"/>
      <c r="M5" s="73" t="n"/>
      <c r="N5" s="73" t="n"/>
      <c r="O5" s="73" t="n"/>
      <c r="P5" s="73" t="n"/>
      <c r="Q5" s="73" t="n"/>
      <c r="R5" s="73" t="n"/>
      <c r="S5" s="73" t="n"/>
      <c r="T5" s="73" t="n"/>
      <c r="U5" s="73" t="n"/>
      <c r="V5" s="73" t="n"/>
      <c r="W5" s="73" t="n"/>
      <c r="X5" s="73" t="n"/>
      <c r="Y5" s="73" t="n"/>
      <c r="Z5" s="73" t="n"/>
      <c r="AA5" s="75" t="n"/>
      <c r="AB5" s="73" t="n"/>
      <c r="AC5" s="73" t="n"/>
      <c r="AD5" s="73" t="n"/>
      <c r="AE5" s="73" t="n"/>
      <c r="AF5" s="73" t="n"/>
      <c r="AG5" s="73" t="n"/>
      <c r="AH5" s="73" t="n"/>
    </row>
    <row r="6" ht="17.4" customHeight="1" s="56">
      <c r="A6" s="73" t="n"/>
      <c r="B6" s="79" t="n"/>
      <c r="C6" s="79" t="n"/>
      <c r="D6" s="79" t="n"/>
      <c r="E6" s="79" t="n"/>
      <c r="F6" s="79" t="n"/>
      <c r="G6" s="79" t="n"/>
      <c r="H6" s="79" t="n"/>
      <c r="I6" s="73" t="n"/>
      <c r="J6" s="73" t="n"/>
      <c r="K6" s="73" t="n"/>
      <c r="L6" s="73" t="n"/>
      <c r="M6" s="73" t="n"/>
      <c r="N6" s="73" t="n"/>
      <c r="O6" s="73" t="n"/>
      <c r="P6" s="73" t="n"/>
      <c r="Q6" s="73" t="n"/>
      <c r="R6" s="73" t="n"/>
      <c r="S6" s="73" t="n"/>
      <c r="T6" s="73" t="n"/>
      <c r="U6" s="73" t="n"/>
      <c r="V6" s="73" t="n"/>
      <c r="W6" s="73" t="n"/>
      <c r="X6" s="73" t="n"/>
      <c r="Y6" s="73" t="n"/>
      <c r="Z6" s="73" t="n"/>
      <c r="AA6" s="75" t="n"/>
      <c r="AB6" s="73" t="n"/>
      <c r="AC6" s="73" t="n"/>
      <c r="AD6" s="73" t="n"/>
      <c r="AE6" s="73" t="n"/>
      <c r="AF6" s="73" t="n"/>
      <c r="AG6" s="73" t="n"/>
      <c r="AH6" s="73" t="n"/>
    </row>
    <row r="7" ht="16.8" customHeight="1" s="56">
      <c r="A7" s="73" t="n"/>
      <c r="B7" s="73" t="n"/>
      <c r="C7" s="82" t="n"/>
      <c r="D7" s="73" t="n"/>
      <c r="E7" s="73" t="n"/>
      <c r="F7" s="73" t="n"/>
      <c r="G7" s="73" t="n"/>
      <c r="H7" s="73" t="n"/>
      <c r="I7" s="73" t="n"/>
      <c r="J7" s="73" t="n"/>
      <c r="K7" s="73" t="n"/>
      <c r="L7" s="73" t="n"/>
      <c r="M7" s="73" t="n"/>
      <c r="N7" s="73" t="n"/>
      <c r="O7" s="73" t="n"/>
      <c r="P7" s="73" t="n"/>
      <c r="Q7" s="73" t="n"/>
      <c r="R7" s="73" t="n"/>
      <c r="S7" s="73" t="n"/>
      <c r="T7" s="73" t="n"/>
      <c r="U7" s="73" t="n"/>
      <c r="V7" s="73" t="n"/>
      <c r="W7" s="73" t="n"/>
      <c r="X7" s="73" t="n"/>
      <c r="Y7" s="73" t="n"/>
      <c r="Z7" s="73" t="n"/>
      <c r="AA7" s="73" t="n"/>
      <c r="AB7" s="73" t="n"/>
      <c r="AC7" s="73" t="n"/>
      <c r="AD7" s="73" t="n"/>
      <c r="AE7" s="73" t="n"/>
      <c r="AF7" s="73" t="n"/>
      <c r="AG7" s="73" t="n"/>
      <c r="AH7" s="73" t="n"/>
    </row>
    <row r="8" ht="16.8" customHeight="1" s="56">
      <c r="A8" s="73" t="n"/>
      <c r="B8" s="73" t="n"/>
      <c r="C8" s="82" t="n"/>
      <c r="D8" s="73" t="n"/>
      <c r="E8" s="73" t="n"/>
      <c r="F8" s="73" t="n"/>
      <c r="G8" s="73" t="n"/>
      <c r="H8" s="73" t="n"/>
      <c r="I8" s="73" t="n"/>
      <c r="J8" s="73" t="n"/>
      <c r="K8" s="73" t="n"/>
      <c r="L8" s="73" t="n"/>
      <c r="M8" s="73" t="n"/>
      <c r="N8" s="73" t="n"/>
      <c r="O8" s="73" t="n"/>
      <c r="P8" s="73" t="n"/>
      <c r="Q8" s="73" t="n"/>
      <c r="R8" s="73" t="n"/>
      <c r="S8" s="73" t="n"/>
      <c r="T8" s="73" t="n"/>
      <c r="U8" s="73" t="n"/>
      <c r="V8" s="73" t="n"/>
      <c r="W8" s="73" t="n"/>
      <c r="X8" s="73" t="n"/>
      <c r="Y8" s="73" t="n"/>
      <c r="Z8" s="73" t="n"/>
      <c r="AA8" s="73" t="n"/>
      <c r="AB8" s="73" t="n"/>
      <c r="AC8" s="73" t="n"/>
      <c r="AD8" s="73" t="n"/>
      <c r="AE8" s="73" t="n"/>
      <c r="AF8" s="73" t="n"/>
      <c r="AG8" s="73" t="n"/>
      <c r="AH8" s="73" t="n"/>
    </row>
    <row r="9" ht="15.6" customHeight="1" s="56">
      <c r="A9" s="83" t="inlineStr">
        <is>
          <t>FILTRO INDIVIDUAL POR ESTUDIANTE</t>
        </is>
      </c>
      <c r="B9" s="84" t="n"/>
      <c r="C9" s="84" t="n"/>
      <c r="D9" s="84" t="n"/>
      <c r="E9" s="84" t="n"/>
      <c r="F9" s="77" t="n"/>
      <c r="G9" s="73" t="n"/>
      <c r="H9" s="73" t="n"/>
      <c r="I9" s="73" t="n"/>
      <c r="J9" s="73" t="n"/>
      <c r="K9" s="73" t="n"/>
      <c r="L9" s="73" t="n"/>
      <c r="M9" s="73" t="n"/>
      <c r="N9" s="73" t="n"/>
      <c r="O9" s="73" t="n"/>
      <c r="P9" s="73" t="n"/>
      <c r="Q9" s="73" t="n"/>
      <c r="R9" s="73" t="n"/>
      <c r="S9" s="73" t="n"/>
      <c r="T9" s="73" t="n"/>
      <c r="U9" s="73" t="n"/>
      <c r="V9" s="73" t="n"/>
      <c r="W9" s="73" t="n"/>
      <c r="X9" s="73" t="n"/>
      <c r="Y9" s="73" t="n"/>
      <c r="Z9" s="73" t="n"/>
      <c r="AA9" s="73" t="n"/>
      <c r="AB9" s="73" t="n"/>
      <c r="AC9" s="73" t="n"/>
      <c r="AD9" s="73" t="n"/>
      <c r="AE9" s="73" t="n"/>
      <c r="AF9" s="73" t="n"/>
      <c r="AG9" s="73" t="n"/>
      <c r="AH9" s="73" t="n"/>
    </row>
    <row r="10" ht="17.4" customHeight="1" s="56">
      <c r="A10" s="73" t="n"/>
      <c r="B10" s="73" t="n"/>
      <c r="C10" s="82" t="n"/>
      <c r="D10" s="73" t="n"/>
      <c r="E10" s="73" t="n"/>
      <c r="F10" s="73" t="n"/>
      <c r="G10" s="73" t="n"/>
      <c r="H10" s="73" t="n"/>
      <c r="I10" s="73" t="n"/>
      <c r="J10" s="73" t="n"/>
      <c r="K10" s="73" t="n"/>
      <c r="L10" s="73" t="n"/>
      <c r="M10" s="73" t="n"/>
      <c r="N10" s="73" t="n"/>
      <c r="O10" s="73" t="n"/>
      <c r="P10" s="73" t="n"/>
      <c r="Q10" s="73" t="n"/>
      <c r="R10" s="73" t="n"/>
      <c r="S10" s="73" t="n"/>
      <c r="T10" s="73" t="n"/>
      <c r="U10" s="73" t="n"/>
      <c r="V10" s="73" t="n"/>
      <c r="W10" s="73" t="n"/>
      <c r="X10" s="73" t="n"/>
      <c r="Y10" s="73" t="n"/>
      <c r="Z10" s="73" t="n"/>
      <c r="AA10" s="73" t="n"/>
      <c r="AB10" s="73" t="n"/>
      <c r="AC10" s="73" t="n"/>
      <c r="AD10" s="73" t="n"/>
      <c r="AE10" s="73" t="n"/>
      <c r="AF10" s="73" t="n"/>
      <c r="AG10" s="73" t="n"/>
      <c r="AH10" s="73" t="n"/>
    </row>
    <row r="11" ht="15" customHeight="1" s="56">
      <c r="A11" s="85" t="inlineStr">
        <is>
          <t>Seleccione Alumno:</t>
        </is>
      </c>
      <c r="B11" s="73" t="n"/>
      <c r="C11" s="73" t="n"/>
      <c r="D11" s="73" t="n"/>
      <c r="E11" s="73" t="n"/>
      <c r="F11" s="77" t="n"/>
      <c r="G11" s="73" t="n"/>
      <c r="H11" s="73" t="n"/>
      <c r="I11" s="73" t="n"/>
      <c r="J11" s="73" t="n"/>
      <c r="K11" s="73" t="n"/>
      <c r="L11" s="73" t="n"/>
      <c r="M11" s="73" t="n"/>
      <c r="N11" s="73" t="n"/>
      <c r="O11" s="73" t="n"/>
      <c r="P11" s="73" t="n"/>
      <c r="Q11" s="73" t="n"/>
      <c r="R11" s="73" t="n"/>
      <c r="S11" s="73" t="n"/>
      <c r="T11" s="73" t="n"/>
      <c r="U11" s="73" t="n"/>
      <c r="V11" s="73" t="n"/>
      <c r="W11" s="73" t="n"/>
      <c r="X11" s="73" t="n"/>
      <c r="Y11" s="73" t="n"/>
      <c r="Z11" s="73" t="n"/>
      <c r="AA11" s="73" t="n"/>
      <c r="AB11" s="73" t="n"/>
      <c r="AC11" s="73" t="n"/>
      <c r="AD11" s="73" t="n"/>
      <c r="AE11" s="73" t="n"/>
      <c r="AF11" s="73" t="n"/>
      <c r="AG11" s="73" t="n"/>
      <c r="AH11" s="73" t="n"/>
    </row>
    <row r="12" ht="15" customHeight="1" s="56">
      <c r="A12" s="86" t="inlineStr">
        <is>
          <t>BARCENAS PORTILLA ANDRES FELIPE</t>
        </is>
      </c>
      <c r="B12" s="87" t="n"/>
      <c r="C12" s="87" t="n"/>
      <c r="D12" s="87" t="n"/>
      <c r="E12" s="73" t="n"/>
      <c r="F12" s="77" t="n"/>
      <c r="G12" s="73" t="n"/>
      <c r="H12" s="73" t="n"/>
      <c r="I12" s="73" t="n"/>
      <c r="J12" s="73" t="n"/>
      <c r="K12" s="73" t="n"/>
      <c r="L12" s="73" t="n"/>
      <c r="M12" s="73" t="n"/>
      <c r="N12" s="73" t="n"/>
      <c r="O12" s="73" t="n"/>
      <c r="P12" s="73" t="n"/>
      <c r="Q12" s="73" t="n"/>
      <c r="R12" s="73" t="n"/>
      <c r="S12" s="73" t="n"/>
      <c r="T12" s="73" t="n"/>
      <c r="U12" s="73" t="n"/>
      <c r="V12" s="73" t="n"/>
      <c r="W12" s="73" t="n"/>
      <c r="X12" s="73" t="n"/>
      <c r="Y12" s="73" t="n"/>
      <c r="Z12" s="73" t="n"/>
      <c r="AA12" s="73" t="n"/>
      <c r="AB12" s="73" t="n"/>
      <c r="AC12" s="73" t="n"/>
      <c r="AD12" s="73" t="n"/>
      <c r="AE12" s="73" t="n"/>
      <c r="AF12" s="73" t="n"/>
      <c r="AG12" s="73" t="n"/>
      <c r="AH12" s="73" t="n"/>
    </row>
    <row r="13" ht="16.8" customHeight="1" s="56">
      <c r="A13" s="82" t="n"/>
      <c r="B13" s="82" t="n"/>
      <c r="C13" s="82" t="n"/>
      <c r="D13" s="73" t="n"/>
      <c r="E13" s="73" t="n"/>
      <c r="F13" s="73" t="n"/>
      <c r="G13" s="73" t="n"/>
      <c r="H13" s="73" t="n"/>
      <c r="I13" s="73" t="n"/>
      <c r="J13" s="73" t="n"/>
      <c r="K13" s="73" t="n"/>
      <c r="L13" s="73" t="n"/>
      <c r="M13" s="73" t="n"/>
      <c r="N13" s="73" t="n"/>
      <c r="O13" s="73" t="n"/>
      <c r="P13" s="73" t="n"/>
      <c r="Q13" s="73" t="n"/>
      <c r="R13" s="73" t="n"/>
      <c r="S13" s="73" t="n"/>
      <c r="T13" s="73" t="n"/>
      <c r="U13" s="73" t="n"/>
      <c r="V13" s="73" t="n"/>
      <c r="W13" s="73" t="n"/>
      <c r="X13" s="73" t="n"/>
      <c r="Y13" s="73" t="n"/>
      <c r="Z13" s="73" t="n"/>
      <c r="AA13" s="73" t="n"/>
      <c r="AB13" s="73" t="n"/>
      <c r="AC13" s="73" t="n"/>
      <c r="AD13" s="73" t="n"/>
      <c r="AE13" s="73" t="n"/>
      <c r="AF13" s="73" t="n"/>
      <c r="AG13" s="73" t="n"/>
      <c r="AH13" s="73" t="n"/>
    </row>
    <row r="14" ht="16.8" customHeight="1" s="56">
      <c r="A14" s="88" t="n"/>
      <c r="B14" s="89" t="inlineStr">
        <is>
          <t>Periodo / Corte</t>
        </is>
      </c>
      <c r="C14" s="90" t="inlineStr">
        <is>
          <t>Porcentaje</t>
        </is>
      </c>
      <c r="D14" s="90" t="inlineStr">
        <is>
          <t>Nota Obtenida</t>
        </is>
      </c>
      <c r="E14" s="90" t="inlineStr">
        <is>
          <t>Estado del Corte</t>
        </is>
      </c>
      <c r="F14" s="77" t="n"/>
      <c r="G14" s="73" t="n"/>
      <c r="H14" s="73" t="n"/>
      <c r="I14" s="73" t="n"/>
      <c r="J14" s="73" t="n"/>
      <c r="K14" s="73" t="n"/>
      <c r="L14" s="73" t="n"/>
      <c r="M14" s="73" t="n"/>
      <c r="N14" s="73" t="n"/>
      <c r="O14" s="73" t="n"/>
      <c r="P14" s="73" t="n"/>
      <c r="Q14" s="73" t="n"/>
      <c r="R14" s="73" t="n"/>
      <c r="S14" s="73" t="n"/>
      <c r="T14" s="73" t="n"/>
      <c r="U14" s="73" t="n"/>
      <c r="V14" s="73" t="n"/>
      <c r="W14" s="73" t="n"/>
      <c r="X14" s="73" t="n"/>
      <c r="Y14" s="73" t="n"/>
      <c r="Z14" s="73" t="n"/>
      <c r="AA14" s="73" t="n"/>
      <c r="AB14" s="73" t="n"/>
      <c r="AC14" s="73" t="n"/>
      <c r="AD14" s="73" t="n"/>
      <c r="AE14" s="73" t="n"/>
      <c r="AF14" s="73" t="n"/>
      <c r="AG14" s="73" t="n"/>
      <c r="AH14" s="73" t="n"/>
    </row>
    <row r="15" ht="16.8" customHeight="1" s="56">
      <c r="A15" s="91" t="n"/>
      <c r="B15" s="92" t="inlineStr">
        <is>
          <t>Primer Corte</t>
        </is>
      </c>
      <c r="C15" s="93" t="inlineStr">
        <is>
          <t>30%</t>
        </is>
      </c>
      <c r="D15" s="94">
        <f>VLOOKUP($A$12, Base_Notas!$B$2:$V$100, 6, FALSE)</f>
        <v/>
      </c>
      <c r="E15" s="95">
        <f>VLOOKUP($A$12, Base_Notas!$B$2:$V$100, 7, FALSE)</f>
        <v/>
      </c>
      <c r="F15" s="77" t="n"/>
      <c r="G15" s="73" t="n"/>
      <c r="H15" s="73" t="n"/>
      <c r="I15" s="73" t="n"/>
      <c r="J15" s="73" t="n"/>
      <c r="K15" s="73" t="n"/>
      <c r="L15" s="73" t="n"/>
      <c r="M15" s="73" t="n"/>
      <c r="N15" s="73" t="n"/>
      <c r="O15" s="73" t="n"/>
      <c r="P15" s="73" t="n"/>
      <c r="Q15" s="73" t="n"/>
      <c r="R15" s="73" t="n"/>
      <c r="S15" s="73" t="n"/>
      <c r="T15" s="73" t="n"/>
      <c r="U15" s="73" t="n"/>
      <c r="V15" s="73" t="n"/>
      <c r="W15" s="73" t="n"/>
      <c r="X15" s="73" t="n"/>
      <c r="Y15" s="73" t="n"/>
      <c r="Z15" s="73" t="n"/>
      <c r="AA15" s="73" t="n"/>
      <c r="AB15" s="73" t="n"/>
      <c r="AC15" s="73" t="n"/>
      <c r="AD15" s="73" t="n"/>
      <c r="AE15" s="73" t="n"/>
      <c r="AF15" s="73" t="n"/>
      <c r="AG15" s="73" t="n"/>
      <c r="AH15" s="73" t="n"/>
    </row>
    <row r="16" ht="15" customHeight="1" s="56">
      <c r="A16" s="91" t="n"/>
      <c r="B16" s="92" t="inlineStr">
        <is>
          <t>Segundo Corte</t>
        </is>
      </c>
      <c r="C16" s="93" t="inlineStr">
        <is>
          <t>30%</t>
        </is>
      </c>
      <c r="D16" s="94">
        <f>VLOOKUP($A$12, Base_Notas!$B$2:$V$100, 12, FALSE)</f>
        <v/>
      </c>
      <c r="E16" s="95">
        <f>VLOOKUP($A$12, Base_Notas!$B$2:$V$100, 13, FALSE)</f>
        <v/>
      </c>
      <c r="F16" s="73" t="n"/>
      <c r="G16" s="73" t="n"/>
      <c r="H16" s="73" t="n"/>
      <c r="I16" s="73" t="n"/>
      <c r="J16" s="73" t="n"/>
      <c r="K16" s="73" t="n"/>
      <c r="L16" s="73" t="n"/>
      <c r="M16" s="73" t="n"/>
      <c r="N16" s="73" t="n"/>
      <c r="O16" s="73" t="n"/>
      <c r="P16" s="73" t="n"/>
      <c r="Q16" s="73" t="n"/>
      <c r="R16" s="73" t="n"/>
      <c r="S16" s="73" t="n"/>
      <c r="T16" s="73" t="n"/>
      <c r="U16" s="73" t="n"/>
      <c r="V16" s="73" t="n"/>
      <c r="W16" s="73" t="n"/>
      <c r="X16" s="73" t="n"/>
      <c r="Y16" s="73" t="n"/>
      <c r="Z16" s="73" t="n"/>
      <c r="AA16" s="73" t="n"/>
      <c r="AB16" s="73" t="n"/>
      <c r="AC16" s="73" t="n"/>
      <c r="AD16" s="73" t="n"/>
      <c r="AE16" s="73" t="n"/>
      <c r="AF16" s="73" t="n"/>
      <c r="AG16" s="73" t="n"/>
      <c r="AH16" s="73" t="n"/>
    </row>
    <row r="17" ht="15" customHeight="1" s="56">
      <c r="A17" s="91" t="n"/>
      <c r="B17" s="92" t="inlineStr">
        <is>
          <t>Tercer Corte</t>
        </is>
      </c>
      <c r="C17" s="93" t="inlineStr">
        <is>
          <t>40%</t>
        </is>
      </c>
      <c r="D17" s="94">
        <f>VLOOKUP($A$12, Base_Notas!$B$2:$V$100, 18, FALSE)</f>
        <v/>
      </c>
      <c r="E17" s="95">
        <f>VLOOKUP($A$12, Base_Notas!$B$2:$V$100, 19, FALSE)</f>
        <v/>
      </c>
      <c r="F17" s="77" t="n"/>
      <c r="G17" s="73" t="n"/>
      <c r="H17" s="73" t="n"/>
      <c r="I17" s="73" t="n"/>
      <c r="J17" s="73" t="n"/>
      <c r="K17" s="73" t="n"/>
      <c r="L17" s="73" t="n"/>
      <c r="M17" s="73" t="n"/>
      <c r="N17" s="73" t="n"/>
      <c r="O17" s="73" t="n"/>
      <c r="P17" s="73" t="n"/>
      <c r="Q17" s="73" t="n"/>
      <c r="R17" s="73" t="n"/>
      <c r="S17" s="73" t="n"/>
      <c r="T17" s="73" t="n"/>
      <c r="U17" s="73" t="n"/>
      <c r="V17" s="73" t="n"/>
      <c r="W17" s="73" t="n"/>
      <c r="X17" s="73" t="n"/>
      <c r="Y17" s="73" t="n"/>
      <c r="Z17" s="73" t="n"/>
      <c r="AA17" s="73" t="n"/>
      <c r="AB17" s="73" t="n"/>
      <c r="AC17" s="73" t="n"/>
      <c r="AD17" s="73" t="n"/>
      <c r="AE17" s="73" t="n"/>
      <c r="AF17" s="73" t="n"/>
      <c r="AG17" s="73" t="n"/>
      <c r="AH17" s="73" t="n"/>
    </row>
    <row r="18" ht="16.8" customHeight="1" s="56">
      <c r="A18" s="96" t="n"/>
      <c r="B18" s="95" t="inlineStr">
        <is>
          <t>Definitiva Semestre</t>
        </is>
      </c>
      <c r="C18" s="93" t="inlineStr">
        <is>
          <t>100%</t>
        </is>
      </c>
      <c r="D18" s="94">
        <f>VLOOKUP($A$12, Base_Notas!$B$2:$V$100, 20, FALSE)</f>
        <v/>
      </c>
      <c r="E18" s="95">
        <f>VLOOKUP($A$12, Base_Notas!$B$2:$V$100, 21, FALSE)</f>
        <v/>
      </c>
      <c r="F18" s="77" t="n"/>
      <c r="G18" s="73" t="n"/>
      <c r="H18" s="73" t="n"/>
      <c r="I18" s="73" t="n"/>
      <c r="J18" s="73" t="n"/>
      <c r="K18" s="73" t="n"/>
      <c r="L18" s="73" t="n"/>
      <c r="M18" s="73" t="n"/>
      <c r="N18" s="73" t="n"/>
      <c r="O18" s="73" t="n"/>
      <c r="P18" s="73" t="n"/>
      <c r="Q18" s="73" t="n"/>
      <c r="R18" s="73" t="n"/>
      <c r="S18" s="73" t="n"/>
      <c r="T18" s="73" t="n"/>
      <c r="U18" s="73" t="n"/>
      <c r="V18" s="73" t="n"/>
      <c r="W18" s="73" t="n"/>
      <c r="X18" s="73" t="n"/>
      <c r="Y18" s="73" t="n"/>
      <c r="Z18" s="73" t="n"/>
      <c r="AA18" s="73" t="n"/>
      <c r="AB18" s="73" t="n"/>
      <c r="AC18" s="73" t="n"/>
      <c r="AD18" s="73" t="n"/>
      <c r="AE18" s="73" t="n"/>
      <c r="AF18" s="73" t="n"/>
      <c r="AG18" s="73" t="n"/>
      <c r="AH18" s="73" t="n"/>
    </row>
    <row r="19" ht="15.6" customHeight="1" s="56">
      <c r="A19" s="96" t="n"/>
      <c r="B19" s="97" t="inlineStr">
        <is>
          <t>Total Faltas Alumno:</t>
        </is>
      </c>
      <c r="C19" s="87" t="n"/>
      <c r="D19" s="95">
        <f>VLOOKUP($A$12, Control_Asistencia!$B$2:$AK$100, 34, FALSE)</f>
        <v/>
      </c>
      <c r="E19" s="95">
        <f>VLOOKUP($A$12, Control_Asistencia!$B$2:$AK$100, 36, FALSE)</f>
        <v/>
      </c>
      <c r="F19" s="73" t="n"/>
      <c r="G19" s="73" t="n"/>
      <c r="H19" s="73" t="n"/>
      <c r="I19" s="73" t="n"/>
      <c r="J19" s="73" t="n"/>
      <c r="K19" s="73" t="n"/>
      <c r="L19" s="73" t="n"/>
      <c r="M19" s="73" t="n"/>
      <c r="N19" s="73" t="n"/>
      <c r="O19" s="73" t="n"/>
      <c r="P19" s="73" t="n"/>
      <c r="Q19" s="73" t="n"/>
      <c r="R19" s="73" t="n"/>
      <c r="S19" s="73" t="n"/>
      <c r="T19" s="73" t="n"/>
      <c r="U19" s="73" t="n"/>
      <c r="V19" s="73" t="n"/>
      <c r="W19" s="73" t="n"/>
      <c r="X19" s="73" t="n"/>
      <c r="Y19" s="73" t="n"/>
      <c r="Z19" s="73" t="n"/>
      <c r="AA19" s="73" t="n"/>
      <c r="AB19" s="73" t="n"/>
      <c r="AC19" s="73" t="n"/>
      <c r="AD19" s="73" t="n"/>
      <c r="AE19" s="73" t="n"/>
      <c r="AF19" s="73" t="n"/>
      <c r="AG19" s="73" t="n"/>
      <c r="AH19" s="73" t="n"/>
    </row>
    <row r="20" ht="16.8" customHeight="1" s="56">
      <c r="A20" s="82" t="n"/>
      <c r="B20" s="82" t="n"/>
      <c r="C20" s="73" t="n"/>
      <c r="D20" s="73" t="n"/>
      <c r="E20" s="73" t="n"/>
      <c r="F20" s="73" t="n"/>
      <c r="G20" s="73" t="n"/>
      <c r="H20" s="73" t="n"/>
      <c r="I20" s="73" t="n"/>
      <c r="J20" s="73" t="n"/>
      <c r="K20" s="73" t="n"/>
      <c r="L20" s="73" t="n"/>
      <c r="M20" s="73" t="n"/>
      <c r="N20" s="73" t="n"/>
      <c r="O20" s="73" t="n"/>
      <c r="P20" s="73" t="n"/>
      <c r="Q20" s="73" t="n"/>
      <c r="R20" s="73" t="n"/>
      <c r="S20" s="73" t="n"/>
      <c r="T20" s="73" t="n"/>
      <c r="U20" s="73" t="n"/>
      <c r="V20" s="73" t="n"/>
      <c r="W20" s="73" t="n"/>
      <c r="X20" s="73" t="n"/>
      <c r="Y20" s="73" t="n"/>
      <c r="Z20" s="73" t="n"/>
      <c r="AA20" s="73" t="n"/>
      <c r="AB20" s="73" t="n"/>
      <c r="AC20" s="73" t="n"/>
      <c r="AD20" s="73" t="n"/>
      <c r="AE20" s="73" t="n"/>
      <c r="AF20" s="73" t="n"/>
      <c r="AG20" s="73" t="n"/>
      <c r="AH20" s="73" t="n"/>
    </row>
    <row r="21" ht="26.4" customHeight="1" s="56">
      <c r="A21" s="77" t="n"/>
      <c r="B21" s="98" t="inlineStr">
        <is>
          <t>ESTUDIANTES REPROBADOS (NOTA &lt; 3.0)</t>
        </is>
      </c>
      <c r="C21" s="84" t="n"/>
      <c r="D21" s="84" t="n"/>
      <c r="E21" s="84" t="n"/>
      <c r="F21" s="73" t="n"/>
      <c r="G21" s="73" t="n"/>
      <c r="H21" s="73" t="n"/>
      <c r="I21" s="73" t="n"/>
      <c r="J21" s="73" t="n"/>
      <c r="K21" s="73" t="n"/>
      <c r="L21" s="73" t="n"/>
      <c r="M21" s="73" t="n"/>
      <c r="N21" s="73" t="n"/>
      <c r="O21" s="73" t="n"/>
      <c r="P21" s="73" t="n"/>
      <c r="Q21" s="73" t="n"/>
      <c r="R21" s="73" t="n"/>
      <c r="S21" s="73" t="n"/>
      <c r="T21" s="73" t="n"/>
      <c r="U21" s="73" t="n"/>
      <c r="V21" s="73" t="n"/>
      <c r="W21" s="73" t="n"/>
      <c r="X21" s="73" t="n"/>
      <c r="Y21" s="73" t="n"/>
      <c r="Z21" s="73" t="n"/>
      <c r="AA21" s="73" t="n"/>
      <c r="AB21" s="73" t="n"/>
      <c r="AC21" s="73" t="n"/>
      <c r="AD21" s="73" t="n"/>
      <c r="AE21" s="73" t="n"/>
      <c r="AF21" s="73" t="n"/>
      <c r="AG21" s="73" t="n"/>
      <c r="AH21" s="73" t="n"/>
    </row>
    <row r="22" ht="16.8" customHeight="1" s="56">
      <c r="A22" s="99" t="n"/>
      <c r="B22" s="100" t="inlineStr">
        <is>
          <t>Gómez Jaramillo Diana Carolina</t>
        </is>
      </c>
      <c r="C22" s="101" t="inlineStr">
        <is>
          <t>Nota Final:</t>
        </is>
      </c>
      <c r="D22" s="102" t="n">
        <v>2.36</v>
      </c>
      <c r="E22" s="103" t="inlineStr">
        <is>
          <t>No Cumple</t>
        </is>
      </c>
      <c r="F22" s="73" t="n"/>
      <c r="G22" s="73" t="n"/>
      <c r="H22" s="73" t="n"/>
      <c r="I22" s="73" t="n"/>
      <c r="J22" s="73" t="n"/>
      <c r="K22" s="73" t="n"/>
      <c r="L22" s="73" t="n"/>
      <c r="M22" s="73" t="n"/>
      <c r="N22" s="73" t="n"/>
      <c r="O22" s="73" t="n"/>
      <c r="P22" s="73" t="n"/>
      <c r="Q22" s="73" t="n"/>
      <c r="R22" s="73" t="n"/>
      <c r="S22" s="73" t="n"/>
      <c r="T22" s="73" t="n"/>
      <c r="U22" s="73" t="n"/>
      <c r="V22" s="73" t="n"/>
      <c r="W22" s="73" t="n"/>
      <c r="X22" s="73" t="n"/>
      <c r="Y22" s="73" t="n"/>
      <c r="Z22" s="73" t="n"/>
      <c r="AA22" s="73" t="n"/>
      <c r="AB22" s="73" t="n"/>
      <c r="AC22" s="73" t="n"/>
      <c r="AD22" s="73" t="n"/>
      <c r="AE22" s="73" t="n"/>
      <c r="AF22" s="73" t="n"/>
      <c r="AG22" s="73" t="n"/>
      <c r="AH22" s="73" t="n"/>
    </row>
    <row r="23" ht="16.8" customHeight="1" s="56">
      <c r="A23" s="99" t="n"/>
      <c r="B23" s="100" t="inlineStr">
        <is>
          <t>Zapata Ossa Gabriela</t>
        </is>
      </c>
      <c r="C23" s="101" t="inlineStr">
        <is>
          <t>Nota Final:</t>
        </is>
      </c>
      <c r="D23" s="102" t="n">
        <v>2.72</v>
      </c>
      <c r="E23" s="103" t="inlineStr">
        <is>
          <t>No Cumple</t>
        </is>
      </c>
      <c r="F23" s="73" t="n"/>
      <c r="G23" s="73" t="n"/>
      <c r="H23" s="73" t="n"/>
      <c r="I23" s="73" t="n"/>
      <c r="J23" s="73" t="n"/>
      <c r="K23" s="73" t="n"/>
      <c r="L23" s="73" t="n"/>
      <c r="M23" s="73" t="n"/>
      <c r="N23" s="73" t="n"/>
      <c r="O23" s="73" t="n"/>
      <c r="P23" s="73" t="n"/>
      <c r="Q23" s="73" t="n"/>
      <c r="R23" s="73" t="n"/>
      <c r="S23" s="73" t="n"/>
      <c r="T23" s="73" t="n"/>
      <c r="U23" s="73" t="n"/>
      <c r="V23" s="73" t="n"/>
      <c r="W23" s="73" t="n"/>
      <c r="X23" s="73" t="n"/>
      <c r="Y23" s="73" t="n"/>
      <c r="Z23" s="73" t="n"/>
      <c r="AA23" s="73" t="n"/>
      <c r="AB23" s="73" t="n"/>
      <c r="AC23" s="73" t="n"/>
      <c r="AD23" s="73" t="n"/>
      <c r="AE23" s="73" t="n"/>
      <c r="AF23" s="73" t="n"/>
      <c r="AG23" s="73" t="n"/>
      <c r="AH23" s="73" t="n"/>
    </row>
    <row r="24" ht="39.6" customHeight="1" s="56">
      <c r="A24" s="99" t="n"/>
      <c r="B24" s="77" t="n"/>
      <c r="C24" s="73" t="n"/>
      <c r="D24" s="73" t="n"/>
      <c r="E24" s="73" t="n"/>
      <c r="F24" s="73" t="n"/>
      <c r="G24" s="73" t="n"/>
      <c r="H24" s="73" t="n"/>
      <c r="I24" s="73" t="n"/>
      <c r="J24" s="73" t="n"/>
      <c r="K24" s="73" t="n"/>
      <c r="L24" s="73" t="n"/>
      <c r="M24" s="73" t="n"/>
      <c r="N24" s="73" t="n"/>
      <c r="O24" s="73" t="n"/>
      <c r="P24" s="73" t="n"/>
      <c r="Q24" s="73" t="n"/>
      <c r="R24" s="73" t="n"/>
      <c r="S24" s="73" t="n"/>
      <c r="T24" s="73" t="n"/>
      <c r="U24" s="73" t="n"/>
      <c r="V24" s="73" t="n"/>
      <c r="W24" s="73" t="n"/>
      <c r="X24" s="73" t="n"/>
      <c r="Y24" s="73" t="n"/>
      <c r="Z24" s="73" t="n"/>
      <c r="AA24" s="73" t="n"/>
      <c r="AB24" s="73" t="n"/>
      <c r="AC24" s="73" t="n"/>
      <c r="AD24" s="73" t="n"/>
      <c r="AE24" s="73" t="n"/>
      <c r="AF24" s="73" t="n"/>
      <c r="AG24" s="73" t="n"/>
      <c r="AH24" s="73" t="n"/>
    </row>
    <row r="25" ht="26.4" customHeight="1" s="56">
      <c r="A25" s="99" t="n"/>
      <c r="B25" s="77" t="n"/>
      <c r="C25" s="73" t="n"/>
      <c r="D25" s="73" t="n"/>
      <c r="E25" s="73" t="n"/>
      <c r="F25" s="73" t="n"/>
      <c r="G25" s="73" t="n"/>
      <c r="H25" s="73" t="n"/>
      <c r="I25" s="73" t="n"/>
      <c r="J25" s="73" t="n"/>
      <c r="K25" s="73" t="n"/>
      <c r="L25" s="73" t="n"/>
      <c r="M25" s="73" t="n"/>
      <c r="N25" s="73" t="n"/>
      <c r="O25" s="73" t="n"/>
      <c r="P25" s="73" t="n"/>
      <c r="Q25" s="73" t="n"/>
      <c r="R25" s="73" t="n"/>
      <c r="S25" s="73" t="n"/>
      <c r="T25" s="73" t="n"/>
      <c r="U25" s="73" t="n"/>
      <c r="V25" s="73" t="n"/>
      <c r="W25" s="73" t="n"/>
      <c r="X25" s="73" t="n"/>
      <c r="Y25" s="73" t="n"/>
      <c r="Z25" s="73" t="n"/>
      <c r="AA25" s="73" t="n"/>
      <c r="AB25" s="73" t="n"/>
      <c r="AC25" s="73" t="n"/>
      <c r="AD25" s="73" t="n"/>
      <c r="AE25" s="73" t="n"/>
      <c r="AF25" s="73" t="n"/>
      <c r="AG25" s="73" t="n"/>
      <c r="AH25" s="73" t="n"/>
    </row>
    <row r="26" ht="16.8" customHeight="1" s="56">
      <c r="A26" s="73" t="n"/>
      <c r="B26" s="73" t="n"/>
      <c r="C26" s="73" t="n"/>
      <c r="D26" s="73" t="n"/>
      <c r="E26" s="73" t="n"/>
      <c r="F26" s="73" t="n"/>
      <c r="G26" s="73" t="n"/>
      <c r="H26" s="73" t="n"/>
      <c r="I26" s="73" t="n"/>
      <c r="J26" s="73" t="n"/>
      <c r="K26" s="73" t="n"/>
      <c r="L26" s="73" t="n"/>
      <c r="M26" s="73" t="n"/>
      <c r="N26" s="73" t="n"/>
      <c r="O26" s="73" t="n"/>
      <c r="P26" s="73" t="n"/>
      <c r="Q26" s="73" t="n"/>
      <c r="R26" s="73" t="n"/>
      <c r="S26" s="73" t="n"/>
      <c r="T26" s="73" t="n"/>
      <c r="U26" s="73" t="n"/>
      <c r="V26" s="73" t="n"/>
      <c r="W26" s="73" t="n"/>
      <c r="X26" s="73" t="n"/>
      <c r="Y26" s="73" t="n"/>
      <c r="Z26" s="73" t="n"/>
      <c r="AA26" s="73" t="n"/>
      <c r="AB26" s="73" t="n"/>
      <c r="AC26" s="73" t="n"/>
      <c r="AD26" s="73" t="n"/>
      <c r="AE26" s="73" t="n"/>
      <c r="AF26" s="73" t="n"/>
      <c r="AG26" s="73" t="n"/>
      <c r="AH26" s="73" t="n"/>
    </row>
    <row r="27" ht="16.8" customHeight="1" s="56">
      <c r="A27" s="73" t="n"/>
      <c r="B27" s="73" t="n"/>
      <c r="C27" s="73" t="n"/>
      <c r="D27" s="73" t="n"/>
      <c r="E27" s="73" t="n"/>
      <c r="F27" s="73" t="n"/>
      <c r="G27" s="73" t="n"/>
      <c r="H27" s="73" t="n"/>
      <c r="I27" s="73" t="n"/>
      <c r="J27" s="73" t="n"/>
      <c r="K27" s="73" t="n"/>
      <c r="L27" s="73" t="n"/>
      <c r="M27" s="73" t="n"/>
      <c r="N27" s="73" t="n"/>
      <c r="O27" s="73" t="n"/>
      <c r="P27" s="73" t="n"/>
      <c r="Q27" s="73" t="n"/>
      <c r="R27" s="73" t="n"/>
      <c r="S27" s="73" t="n"/>
      <c r="T27" s="73" t="n"/>
      <c r="U27" s="73" t="n"/>
      <c r="V27" s="73" t="n"/>
      <c r="W27" s="73" t="n"/>
      <c r="X27" s="73" t="n"/>
      <c r="Y27" s="73" t="n"/>
      <c r="Z27" s="73" t="n"/>
      <c r="AA27" s="73" t="n"/>
      <c r="AB27" s="73" t="n"/>
      <c r="AC27" s="73" t="n"/>
      <c r="AD27" s="73" t="n"/>
      <c r="AE27" s="73" t="n"/>
      <c r="AF27" s="73" t="n"/>
      <c r="AG27" s="73" t="n"/>
      <c r="AH27" s="73" t="n"/>
    </row>
    <row r="28" ht="16.8" customHeight="1" s="56">
      <c r="A28" s="73" t="n"/>
      <c r="B28" s="73" t="n"/>
      <c r="C28" s="73" t="n"/>
      <c r="D28" s="73" t="n"/>
      <c r="E28" s="73" t="n"/>
      <c r="F28" s="73" t="n"/>
      <c r="G28" s="73" t="n"/>
      <c r="H28" s="73" t="n"/>
      <c r="I28" s="73" t="n"/>
      <c r="J28" s="73" t="n"/>
      <c r="K28" s="73" t="n"/>
      <c r="L28" s="73" t="n"/>
      <c r="M28" s="73" t="n"/>
      <c r="N28" s="73" t="n"/>
      <c r="O28" s="73" t="n"/>
      <c r="P28" s="73" t="n"/>
      <c r="Q28" s="73" t="n"/>
      <c r="R28" s="73" t="n"/>
      <c r="S28" s="73" t="n"/>
      <c r="T28" s="73" t="n"/>
      <c r="U28" s="73" t="n"/>
      <c r="V28" s="73" t="n"/>
      <c r="W28" s="73" t="n"/>
      <c r="X28" s="73" t="n"/>
      <c r="Y28" s="73" t="n"/>
      <c r="Z28" s="73" t="n"/>
      <c r="AA28" s="73" t="n"/>
      <c r="AB28" s="73" t="n"/>
      <c r="AC28" s="73" t="n"/>
      <c r="AD28" s="73" t="n"/>
      <c r="AE28" s="73" t="n"/>
      <c r="AF28" s="73" t="n"/>
      <c r="AG28" s="73" t="n"/>
      <c r="AH28" s="73" t="n"/>
    </row>
    <row r="29" ht="16.8" customHeight="1" s="56">
      <c r="A29" s="73" t="n"/>
      <c r="B29" s="73" t="n"/>
      <c r="C29" s="73" t="n"/>
      <c r="D29" s="73" t="n"/>
      <c r="E29" s="73" t="n"/>
      <c r="F29" s="73" t="n"/>
      <c r="G29" s="73" t="n"/>
      <c r="H29" s="73" t="n"/>
      <c r="I29" s="73" t="n"/>
      <c r="J29" s="73" t="n"/>
      <c r="K29" s="73" t="n"/>
      <c r="L29" s="73" t="n"/>
      <c r="M29" s="73" t="n"/>
      <c r="N29" s="73" t="n"/>
      <c r="O29" s="73" t="n"/>
      <c r="P29" s="73" t="n"/>
      <c r="Q29" s="73" t="n"/>
      <c r="R29" s="73" t="n"/>
      <c r="S29" s="73" t="n"/>
      <c r="T29" s="73" t="n"/>
      <c r="U29" s="73" t="n"/>
      <c r="V29" s="73" t="n"/>
      <c r="W29" s="73" t="n"/>
      <c r="X29" s="73" t="n"/>
      <c r="Y29" s="73" t="n"/>
      <c r="Z29" s="73" t="n"/>
      <c r="AA29" s="73" t="n"/>
      <c r="AB29" s="73" t="n"/>
      <c r="AC29" s="73" t="n"/>
      <c r="AD29" s="73" t="n"/>
      <c r="AE29" s="73" t="n"/>
      <c r="AF29" s="73" t="n"/>
      <c r="AG29" s="73" t="n"/>
      <c r="AH29" s="73" t="n"/>
    </row>
    <row r="30" ht="16.8" customHeight="1" s="56">
      <c r="A30" s="73" t="n"/>
      <c r="B30" s="73" t="n"/>
      <c r="C30" s="73" t="n"/>
      <c r="D30" s="73" t="n"/>
      <c r="E30" s="73" t="n"/>
      <c r="F30" s="73" t="n"/>
      <c r="G30" s="73" t="n"/>
      <c r="H30" s="73" t="n"/>
      <c r="I30" s="73" t="n"/>
      <c r="J30" s="73" t="n"/>
      <c r="K30" s="73" t="n"/>
      <c r="L30" s="73" t="n"/>
      <c r="M30" s="73" t="n"/>
      <c r="N30" s="73" t="n"/>
      <c r="O30" s="73" t="n"/>
      <c r="P30" s="73" t="n"/>
      <c r="Q30" s="73" t="n"/>
      <c r="R30" s="73" t="n"/>
      <c r="S30" s="73" t="n"/>
      <c r="T30" s="73" t="n"/>
      <c r="U30" s="73" t="n"/>
      <c r="V30" s="73" t="n"/>
      <c r="W30" s="73" t="n"/>
      <c r="X30" s="73" t="n"/>
      <c r="Y30" s="73" t="n"/>
      <c r="Z30" s="73" t="n"/>
      <c r="AA30" s="73" t="n"/>
      <c r="AB30" s="73" t="n"/>
      <c r="AC30" s="73" t="n"/>
      <c r="AD30" s="73" t="n"/>
      <c r="AE30" s="73" t="n"/>
      <c r="AF30" s="73" t="n"/>
      <c r="AG30" s="73" t="n"/>
      <c r="AH30" s="73" t="n"/>
    </row>
    <row r="31" ht="16.8" customHeight="1" s="56">
      <c r="A31" s="73" t="n"/>
      <c r="B31" s="73" t="n"/>
      <c r="C31" s="73" t="n"/>
      <c r="D31" s="73" t="n"/>
      <c r="E31" s="73" t="n"/>
      <c r="F31" s="73" t="n"/>
      <c r="G31" s="73" t="n"/>
      <c r="H31" s="73" t="n"/>
      <c r="I31" s="73" t="n"/>
      <c r="J31" s="73" t="n"/>
      <c r="K31" s="73" t="n"/>
      <c r="L31" s="73" t="n"/>
      <c r="M31" s="73" t="n"/>
      <c r="N31" s="73" t="n"/>
      <c r="O31" s="73" t="n"/>
      <c r="P31" s="73" t="n"/>
      <c r="Q31" s="73" t="n"/>
      <c r="R31" s="73" t="n"/>
      <c r="S31" s="73" t="n"/>
      <c r="T31" s="73" t="n"/>
      <c r="U31" s="73" t="n"/>
      <c r="V31" s="73" t="n"/>
      <c r="W31" s="73" t="n"/>
      <c r="X31" s="73" t="n"/>
      <c r="Y31" s="73" t="n"/>
      <c r="Z31" s="73" t="n"/>
      <c r="AA31" s="73" t="n"/>
      <c r="AB31" s="73" t="n"/>
      <c r="AC31" s="73" t="n"/>
      <c r="AD31" s="73" t="n"/>
      <c r="AE31" s="73" t="n"/>
      <c r="AF31" s="73" t="n"/>
      <c r="AG31" s="73" t="n"/>
      <c r="AH31" s="73" t="n"/>
    </row>
    <row r="32" ht="16.8" customHeight="1" s="56">
      <c r="A32" s="73" t="n"/>
      <c r="B32" s="73" t="n"/>
      <c r="C32" s="73" t="n"/>
      <c r="D32" s="73" t="n"/>
      <c r="E32" s="73" t="n"/>
      <c r="F32" s="73" t="n"/>
      <c r="G32" s="73" t="n"/>
      <c r="H32" s="73" t="n"/>
      <c r="I32" s="73" t="n"/>
      <c r="J32" s="73" t="n"/>
      <c r="K32" s="73" t="n"/>
      <c r="L32" s="73" t="n"/>
      <c r="M32" s="73" t="n"/>
      <c r="N32" s="73" t="n"/>
      <c r="O32" s="73" t="n"/>
      <c r="P32" s="73" t="n"/>
      <c r="Q32" s="73" t="n"/>
      <c r="R32" s="73" t="n"/>
      <c r="S32" s="73" t="n"/>
      <c r="T32" s="73" t="n"/>
      <c r="U32" s="73" t="n"/>
      <c r="V32" s="73" t="n"/>
      <c r="W32" s="73" t="n"/>
      <c r="X32" s="73" t="n"/>
      <c r="Y32" s="73" t="n"/>
      <c r="Z32" s="73" t="n"/>
      <c r="AA32" s="73" t="n"/>
      <c r="AB32" s="73" t="n"/>
      <c r="AC32" s="73" t="n"/>
      <c r="AD32" s="73" t="n"/>
      <c r="AE32" s="73" t="n"/>
      <c r="AF32" s="73" t="n"/>
      <c r="AG32" s="73" t="n"/>
      <c r="AH32" s="73" t="n"/>
    </row>
    <row r="33" ht="16.8" customHeight="1" s="56">
      <c r="A33" s="73" t="n"/>
      <c r="B33" s="73" t="n"/>
      <c r="C33" s="73" t="n"/>
      <c r="D33" s="73" t="n"/>
      <c r="E33" s="73" t="n"/>
      <c r="F33" s="73" t="n"/>
      <c r="G33" s="73" t="n"/>
      <c r="H33" s="73" t="n"/>
      <c r="I33" s="73" t="n"/>
      <c r="J33" s="73" t="n"/>
      <c r="K33" s="73" t="n"/>
      <c r="L33" s="73" t="n"/>
      <c r="M33" s="73" t="n"/>
      <c r="N33" s="73" t="n"/>
      <c r="O33" s="73" t="n"/>
      <c r="P33" s="73" t="n"/>
      <c r="Q33" s="73" t="n"/>
      <c r="R33" s="73" t="n"/>
      <c r="S33" s="73" t="n"/>
      <c r="T33" s="73" t="n"/>
      <c r="U33" s="73" t="n"/>
      <c r="V33" s="73" t="n"/>
      <c r="W33" s="73" t="n"/>
      <c r="X33" s="73" t="n"/>
      <c r="Y33" s="73" t="n"/>
      <c r="Z33" s="73" t="n"/>
      <c r="AA33" s="73" t="n"/>
      <c r="AB33" s="73" t="n"/>
      <c r="AC33" s="73" t="n"/>
      <c r="AD33" s="73" t="n"/>
      <c r="AE33" s="73" t="n"/>
      <c r="AF33" s="73" t="n"/>
      <c r="AG33" s="73" t="n"/>
      <c r="AH33" s="73" t="n"/>
    </row>
    <row r="34" ht="16.8" customHeight="1" s="56">
      <c r="A34" s="73" t="n"/>
      <c r="B34" s="73" t="n"/>
      <c r="C34" s="73" t="n"/>
      <c r="D34" s="73" t="n"/>
      <c r="E34" s="73" t="n"/>
      <c r="F34" s="73" t="n"/>
      <c r="G34" s="73" t="n"/>
      <c r="H34" s="73" t="n"/>
      <c r="I34" s="73" t="n"/>
      <c r="J34" s="73" t="n"/>
      <c r="K34" s="73" t="n"/>
      <c r="L34" s="73" t="n"/>
      <c r="M34" s="73" t="n"/>
      <c r="N34" s="73" t="n"/>
      <c r="O34" s="73" t="n"/>
      <c r="P34" s="73" t="n"/>
      <c r="Q34" s="73" t="n"/>
      <c r="R34" s="73" t="n"/>
      <c r="S34" s="73" t="n"/>
      <c r="T34" s="73" t="n"/>
      <c r="U34" s="73" t="n"/>
      <c r="V34" s="73" t="n"/>
      <c r="W34" s="73" t="n"/>
      <c r="X34" s="73" t="n"/>
      <c r="Y34" s="73" t="n"/>
      <c r="Z34" s="73" t="n"/>
      <c r="AA34" s="73" t="n"/>
      <c r="AB34" s="73" t="n"/>
      <c r="AC34" s="73" t="n"/>
      <c r="AD34" s="73" t="n"/>
      <c r="AE34" s="73" t="n"/>
      <c r="AF34" s="73" t="n"/>
      <c r="AG34" s="73" t="n"/>
      <c r="AH34" s="73" t="n"/>
    </row>
    <row r="35" ht="16.8" customHeight="1" s="56">
      <c r="A35" s="73" t="n"/>
      <c r="B35" s="73" t="n"/>
      <c r="C35" s="73" t="n"/>
      <c r="D35" s="73" t="n"/>
      <c r="E35" s="73" t="n"/>
      <c r="F35" s="73" t="n"/>
      <c r="G35" s="73" t="n"/>
      <c r="H35" s="73" t="n"/>
      <c r="I35" s="73" t="n"/>
      <c r="J35" s="73" t="n"/>
      <c r="K35" s="73" t="n"/>
      <c r="L35" s="73" t="n"/>
      <c r="M35" s="73" t="n"/>
      <c r="N35" s="73" t="n"/>
      <c r="O35" s="73" t="n"/>
      <c r="P35" s="73" t="n"/>
      <c r="Q35" s="73" t="n"/>
      <c r="R35" s="73" t="n"/>
      <c r="S35" s="73" t="n"/>
      <c r="T35" s="73" t="n"/>
      <c r="U35" s="73" t="n"/>
      <c r="V35" s="73" t="n"/>
      <c r="W35" s="73" t="n"/>
      <c r="X35" s="73" t="n"/>
      <c r="Y35" s="73" t="n"/>
      <c r="Z35" s="73" t="n"/>
      <c r="AA35" s="73" t="n"/>
      <c r="AB35" s="73" t="n"/>
      <c r="AC35" s="73" t="n"/>
      <c r="AD35" s="73" t="n"/>
      <c r="AE35" s="73" t="n"/>
      <c r="AF35" s="73" t="n"/>
      <c r="AG35" s="73" t="n"/>
      <c r="AH35" s="73" t="n"/>
    </row>
    <row r="36" ht="16.8" customHeight="1" s="56">
      <c r="A36" s="73" t="n"/>
      <c r="B36" s="73" t="n"/>
      <c r="C36" s="73" t="n"/>
      <c r="D36" s="73" t="n"/>
      <c r="E36" s="73" t="n"/>
      <c r="F36" s="73" t="n"/>
      <c r="G36" s="73" t="n"/>
      <c r="H36" s="73" t="n"/>
      <c r="I36" s="73" t="n"/>
      <c r="J36" s="73" t="n"/>
      <c r="K36" s="73" t="n"/>
      <c r="L36" s="73" t="n"/>
      <c r="M36" s="73" t="n"/>
      <c r="N36" s="73" t="n"/>
      <c r="O36" s="73" t="n"/>
      <c r="P36" s="73" t="n"/>
      <c r="Q36" s="73" t="n"/>
      <c r="R36" s="73" t="n"/>
      <c r="S36" s="73" t="n"/>
      <c r="T36" s="73" t="n"/>
      <c r="U36" s="73" t="n"/>
      <c r="V36" s="73" t="n"/>
      <c r="W36" s="73" t="n"/>
      <c r="X36" s="73" t="n"/>
      <c r="Y36" s="73" t="n"/>
      <c r="Z36" s="73" t="n"/>
      <c r="AA36" s="73" t="n"/>
      <c r="AB36" s="73" t="n"/>
      <c r="AC36" s="73" t="n"/>
      <c r="AD36" s="73" t="n"/>
      <c r="AE36" s="73" t="n"/>
      <c r="AF36" s="73" t="n"/>
      <c r="AG36" s="73" t="n"/>
      <c r="AH36" s="73" t="n"/>
    </row>
    <row r="37" ht="16.8" customHeight="1" s="56">
      <c r="A37" s="73" t="n"/>
      <c r="B37" s="73" t="n"/>
      <c r="C37" s="73" t="n"/>
      <c r="D37" s="73" t="n"/>
      <c r="E37" s="73" t="n"/>
      <c r="F37" s="73" t="n"/>
      <c r="G37" s="73" t="n"/>
      <c r="H37" s="73" t="n"/>
      <c r="I37" s="73" t="n"/>
      <c r="J37" s="73" t="n"/>
      <c r="K37" s="73" t="n"/>
      <c r="L37" s="73" t="n"/>
      <c r="M37" s="73" t="n"/>
      <c r="N37" s="73" t="n"/>
      <c r="O37" s="73" t="n"/>
      <c r="P37" s="73" t="n"/>
      <c r="Q37" s="73" t="n"/>
      <c r="R37" s="73" t="n"/>
      <c r="S37" s="73" t="n"/>
      <c r="T37" s="73" t="n"/>
      <c r="U37" s="73" t="n"/>
      <c r="V37" s="73" t="n"/>
      <c r="W37" s="73" t="n"/>
      <c r="X37" s="73" t="n"/>
      <c r="Y37" s="73" t="n"/>
      <c r="Z37" s="73" t="n"/>
      <c r="AA37" s="73" t="n"/>
      <c r="AB37" s="73" t="n"/>
      <c r="AC37" s="73" t="n"/>
      <c r="AD37" s="73" t="n"/>
      <c r="AE37" s="73" t="n"/>
      <c r="AF37" s="73" t="n"/>
      <c r="AG37" s="73" t="n"/>
      <c r="AH37" s="73" t="n"/>
    </row>
    <row r="38" ht="16.8" customHeight="1" s="56">
      <c r="A38" s="73" t="n"/>
      <c r="B38" s="73" t="n"/>
      <c r="C38" s="73" t="n"/>
      <c r="D38" s="73" t="n"/>
      <c r="E38" s="73" t="n"/>
      <c r="F38" s="73" t="n"/>
      <c r="G38" s="73" t="n"/>
      <c r="H38" s="73" t="n"/>
      <c r="I38" s="73" t="n"/>
      <c r="J38" s="73" t="n"/>
      <c r="K38" s="73" t="n"/>
      <c r="L38" s="73" t="n"/>
      <c r="M38" s="73" t="n"/>
      <c r="N38" s="73" t="n"/>
      <c r="O38" s="73" t="n"/>
      <c r="P38" s="73" t="n"/>
      <c r="Q38" s="73" t="n"/>
      <c r="R38" s="73" t="n"/>
      <c r="S38" s="73" t="n"/>
      <c r="T38" s="73" t="n"/>
      <c r="U38" s="73" t="n"/>
      <c r="V38" s="73" t="n"/>
      <c r="W38" s="73" t="n"/>
      <c r="X38" s="73" t="n"/>
      <c r="Y38" s="73" t="n"/>
      <c r="Z38" s="73" t="n"/>
      <c r="AA38" s="73" t="n"/>
      <c r="AB38" s="73" t="n"/>
      <c r="AC38" s="73" t="n"/>
      <c r="AD38" s="73" t="n"/>
      <c r="AE38" s="73" t="n"/>
      <c r="AF38" s="73" t="n"/>
      <c r="AG38" s="73" t="n"/>
      <c r="AH38" s="73" t="n"/>
    </row>
    <row r="39" ht="16.8" customHeight="1" s="56">
      <c r="A39" s="73" t="n"/>
      <c r="B39" s="73" t="n"/>
      <c r="C39" s="73" t="n"/>
      <c r="D39" s="73" t="n"/>
      <c r="E39" s="73" t="n"/>
      <c r="F39" s="73" t="n"/>
      <c r="G39" s="73" t="n"/>
      <c r="H39" s="73" t="n"/>
      <c r="I39" s="73" t="n"/>
      <c r="J39" s="73" t="n"/>
      <c r="K39" s="73" t="n"/>
      <c r="L39" s="73" t="n"/>
      <c r="M39" s="73" t="n"/>
      <c r="N39" s="73" t="n"/>
      <c r="O39" s="73" t="n"/>
      <c r="P39" s="73" t="n"/>
      <c r="Q39" s="73" t="n"/>
      <c r="R39" s="73" t="n"/>
      <c r="S39" s="73" t="n"/>
      <c r="T39" s="73" t="n"/>
      <c r="U39" s="73" t="n"/>
      <c r="V39" s="73" t="n"/>
      <c r="W39" s="73" t="n"/>
      <c r="X39" s="73" t="n"/>
      <c r="Y39" s="73" t="n"/>
      <c r="Z39" s="73" t="n"/>
      <c r="AA39" s="73" t="n"/>
      <c r="AB39" s="73" t="n"/>
      <c r="AC39" s="73" t="n"/>
      <c r="AD39" s="73" t="n"/>
      <c r="AE39" s="73" t="n"/>
      <c r="AF39" s="73" t="n"/>
      <c r="AG39" s="73" t="n"/>
      <c r="AH39" s="73" t="n"/>
    </row>
    <row r="40" ht="16.8" customHeight="1" s="56">
      <c r="A40" s="73" t="n"/>
      <c r="B40" s="73" t="n"/>
      <c r="C40" s="73" t="n"/>
      <c r="D40" s="73" t="n"/>
      <c r="E40" s="73" t="n"/>
      <c r="F40" s="73" t="n"/>
      <c r="G40" s="73" t="n"/>
      <c r="H40" s="73" t="n"/>
      <c r="I40" s="73" t="n"/>
      <c r="J40" s="73" t="n"/>
      <c r="K40" s="73" t="n"/>
      <c r="L40" s="73" t="n"/>
      <c r="M40" s="73" t="n"/>
      <c r="N40" s="73" t="n"/>
      <c r="O40" s="73" t="n"/>
      <c r="P40" s="73" t="n"/>
      <c r="Q40" s="73" t="n"/>
      <c r="R40" s="73" t="n"/>
      <c r="S40" s="73" t="n"/>
      <c r="T40" s="73" t="n"/>
      <c r="U40" s="73" t="n"/>
      <c r="V40" s="73" t="n"/>
      <c r="W40" s="73" t="n"/>
      <c r="X40" s="73" t="n"/>
      <c r="Y40" s="73" t="n"/>
      <c r="Z40" s="73" t="n"/>
      <c r="AA40" s="73" t="n"/>
      <c r="AB40" s="73" t="n"/>
      <c r="AC40" s="73" t="n"/>
      <c r="AD40" s="73" t="n"/>
      <c r="AE40" s="73" t="n"/>
      <c r="AF40" s="73" t="n"/>
      <c r="AG40" s="73" t="n"/>
      <c r="AH40" s="73" t="n"/>
    </row>
    <row r="41" ht="16.8" customHeight="1" s="56">
      <c r="A41" s="73" t="n"/>
      <c r="B41" s="73" t="n"/>
      <c r="C41" s="73" t="n"/>
      <c r="D41" s="73" t="n"/>
      <c r="E41" s="73" t="n"/>
      <c r="F41" s="73" t="n"/>
      <c r="G41" s="73" t="n"/>
      <c r="H41" s="73" t="n"/>
      <c r="I41" s="73" t="n"/>
      <c r="J41" s="73" t="n"/>
      <c r="K41" s="73" t="n"/>
      <c r="L41" s="73" t="n"/>
      <c r="M41" s="73" t="n"/>
      <c r="N41" s="73" t="n"/>
      <c r="O41" s="73" t="n"/>
      <c r="P41" s="73" t="n"/>
      <c r="Q41" s="73" t="n"/>
      <c r="R41" s="73" t="n"/>
      <c r="S41" s="73" t="n"/>
      <c r="T41" s="73" t="n"/>
      <c r="U41" s="73" t="n"/>
      <c r="V41" s="73" t="n"/>
      <c r="W41" s="73" t="n"/>
      <c r="X41" s="73" t="n"/>
      <c r="Y41" s="73" t="n"/>
      <c r="Z41" s="73" t="n"/>
      <c r="AA41" s="73" t="n"/>
      <c r="AB41" s="73" t="n"/>
      <c r="AC41" s="73" t="n"/>
      <c r="AD41" s="73" t="n"/>
      <c r="AE41" s="73" t="n"/>
      <c r="AF41" s="73" t="n"/>
      <c r="AG41" s="73" t="n"/>
      <c r="AH41" s="73" t="n"/>
    </row>
    <row r="42" ht="16.8" customHeight="1" s="56">
      <c r="A42" s="73" t="n"/>
      <c r="B42" s="73" t="n"/>
      <c r="C42" s="73" t="n"/>
      <c r="D42" s="73" t="n"/>
      <c r="E42" s="73" t="n"/>
      <c r="F42" s="73" t="n"/>
      <c r="G42" s="73" t="n"/>
      <c r="H42" s="73" t="n"/>
      <c r="I42" s="73" t="n"/>
      <c r="J42" s="73" t="n"/>
      <c r="K42" s="73" t="n"/>
      <c r="L42" s="73" t="n"/>
      <c r="M42" s="73" t="n"/>
      <c r="N42" s="73" t="n"/>
      <c r="O42" s="73" t="n"/>
      <c r="P42" s="73" t="n"/>
      <c r="Q42" s="73" t="n"/>
      <c r="R42" s="73" t="n"/>
      <c r="S42" s="73" t="n"/>
      <c r="T42" s="73" t="n"/>
      <c r="U42" s="73" t="n"/>
      <c r="V42" s="73" t="n"/>
      <c r="W42" s="73" t="n"/>
      <c r="X42" s="73" t="n"/>
      <c r="Y42" s="73" t="n"/>
      <c r="Z42" s="73" t="n"/>
      <c r="AA42" s="73" t="n"/>
      <c r="AB42" s="73" t="n"/>
      <c r="AC42" s="73" t="n"/>
      <c r="AD42" s="73" t="n"/>
      <c r="AE42" s="73" t="n"/>
      <c r="AF42" s="73" t="n"/>
      <c r="AG42" s="73" t="n"/>
      <c r="AH42" s="73" t="n"/>
    </row>
    <row r="43" ht="16.8" customHeight="1" s="56">
      <c r="A43" s="73" t="n"/>
      <c r="B43" s="73" t="n"/>
      <c r="C43" s="73" t="n"/>
      <c r="D43" s="73" t="n"/>
      <c r="E43" s="73" t="n"/>
      <c r="F43" s="73" t="n"/>
      <c r="G43" s="73" t="n"/>
      <c r="H43" s="73" t="n"/>
      <c r="I43" s="73" t="n"/>
      <c r="J43" s="73" t="n"/>
      <c r="K43" s="73" t="n"/>
      <c r="L43" s="73" t="n"/>
      <c r="M43" s="73" t="n"/>
      <c r="N43" s="73" t="n"/>
      <c r="O43" s="73" t="n"/>
      <c r="P43" s="73" t="n"/>
      <c r="Q43" s="73" t="n"/>
      <c r="R43" s="73" t="n"/>
      <c r="S43" s="73" t="n"/>
      <c r="T43" s="73" t="n"/>
      <c r="U43" s="73" t="n"/>
      <c r="V43" s="73" t="n"/>
      <c r="W43" s="73" t="n"/>
      <c r="X43" s="73" t="n"/>
      <c r="Y43" s="73" t="n"/>
      <c r="Z43" s="73" t="n"/>
      <c r="AA43" s="73" t="n"/>
      <c r="AB43" s="73" t="n"/>
      <c r="AC43" s="73" t="n"/>
      <c r="AD43" s="73" t="n"/>
      <c r="AE43" s="73" t="n"/>
      <c r="AF43" s="73" t="n"/>
      <c r="AG43" s="73" t="n"/>
      <c r="AH43" s="73" t="n"/>
    </row>
    <row r="44" ht="16.8" customHeight="1" s="56">
      <c r="A44" s="73" t="n"/>
      <c r="B44" s="73" t="n"/>
      <c r="C44" s="73" t="n"/>
      <c r="D44" s="73" t="n"/>
      <c r="E44" s="73" t="n"/>
      <c r="F44" s="73" t="n"/>
      <c r="G44" s="73" t="n"/>
      <c r="H44" s="73" t="n"/>
      <c r="I44" s="73" t="n"/>
      <c r="J44" s="73" t="n"/>
      <c r="K44" s="73" t="n"/>
      <c r="L44" s="73" t="n"/>
      <c r="M44" s="73" t="n"/>
      <c r="N44" s="73" t="n"/>
      <c r="O44" s="73" t="n"/>
      <c r="P44" s="73" t="n"/>
      <c r="Q44" s="73" t="n"/>
      <c r="R44" s="73" t="n"/>
      <c r="S44" s="73" t="n"/>
      <c r="T44" s="73" t="n"/>
      <c r="U44" s="73" t="n"/>
      <c r="V44" s="73" t="n"/>
      <c r="W44" s="73" t="n"/>
      <c r="X44" s="73" t="n"/>
      <c r="Y44" s="73" t="n"/>
      <c r="Z44" s="73" t="n"/>
      <c r="AA44" s="73" t="n"/>
      <c r="AB44" s="73" t="n"/>
      <c r="AC44" s="73" t="n"/>
      <c r="AD44" s="73" t="n"/>
      <c r="AE44" s="73" t="n"/>
      <c r="AF44" s="73" t="n"/>
      <c r="AG44" s="73" t="n"/>
      <c r="AH44" s="73" t="n"/>
    </row>
  </sheetData>
  <mergeCells count="12">
    <mergeCell ref="F4:G4"/>
    <mergeCell ref="B5:C6"/>
    <mergeCell ref="D5:E6"/>
    <mergeCell ref="H4"/>
    <mergeCell ref="B19:C19"/>
    <mergeCell ref="B21:E21"/>
    <mergeCell ref="D4:E4"/>
    <mergeCell ref="A9:E9"/>
    <mergeCell ref="H5:H6"/>
    <mergeCell ref="A12:D12"/>
    <mergeCell ref="F5:G6"/>
    <mergeCell ref="B4:C4"/>
  </mergeCells>
  <conditionalFormatting sqref="B14:B17">
    <cfRule type="cellIs" priority="7" operator="greaterThanOrEqual" dxfId="1">
      <formula>3</formula>
    </cfRule>
    <cfRule type="cellIs" priority="8" operator="lessThan" dxfId="0">
      <formula>3</formula>
    </cfRule>
  </conditionalFormatting>
  <conditionalFormatting sqref="B21:B25">
    <cfRule type="cellIs" priority="1" operator="equal" dxfId="1">
      <formula>"Logrado"</formula>
    </cfRule>
    <cfRule type="cellIs" priority="2" operator="equal" dxfId="0">
      <formula>"En Proceso"</formula>
    </cfRule>
  </conditionalFormatting>
  <conditionalFormatting sqref="C14:C16">
    <cfRule type="cellIs" priority="3" operator="equal" dxfId="1">
      <formula>"Aprobado"</formula>
    </cfRule>
    <cfRule type="cellIs" priority="4" operator="equal" dxfId="0">
      <formula>"Reprobado"</formula>
    </cfRule>
  </conditionalFormatting>
  <conditionalFormatting sqref="C17">
    <cfRule type="cellIs" priority="5" operator="equal" dxfId="1">
      <formula>"Cumple Objetivos"</formula>
    </cfRule>
    <cfRule type="cellIs" priority="6" operator="equal" dxfId="0">
      <formula>"No Cumple"</formula>
    </cfRule>
  </conditionalFormatting>
  <conditionalFormatting sqref="G11">
    <cfRule type="cellIs" priority="10" operator="equal" dxfId="1">
      <formula>"Regular"</formula>
    </cfRule>
    <cfRule type="cellIs" priority="10" operator="equal" dxfId="0">
      <formula>"Pérdida por Faltas"</formula>
    </cfRule>
  </conditionalFormatting>
  <dataValidations count="1">
    <dataValidation sqref="A12" showDropDown="0" showInputMessage="0" showErrorMessage="0" allowBlank="1" errorTitle="Estudiante no válido" error="El estudiante no está en la lista de calificaciones" type="list">
      <formula1>Base_Notas!$B$2:$B$100</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V12"/>
  <sheetViews>
    <sheetView workbookViewId="0">
      <selection activeCell="E21" sqref="E21"/>
    </sheetView>
  </sheetViews>
  <sheetFormatPr baseColWidth="10" defaultColWidth="8.88671875" defaultRowHeight="14.4"/>
  <cols>
    <col width="15" customWidth="1" style="56" min="1" max="1"/>
    <col width="35.6640625" bestFit="1" customWidth="1" style="56" min="2" max="2"/>
    <col width="6.77734375" customWidth="1" style="56" min="3" max="5"/>
    <col width="8.77734375" customWidth="1" style="56" min="6" max="6"/>
    <col width="7.77734375" customWidth="1" style="56" min="7" max="7"/>
    <col width="9.77734375" customWidth="1" style="56" min="8" max="8"/>
    <col width="6.77734375" customWidth="1" style="56" min="9" max="11"/>
    <col width="8.77734375" customWidth="1" style="56" min="12" max="12"/>
    <col width="7.77734375" customWidth="1" style="56" min="13" max="13"/>
    <col width="9.77734375" customWidth="1" style="56" min="14" max="14"/>
    <col width="6.77734375" customWidth="1" style="56" min="15" max="17"/>
    <col width="8.77734375" customWidth="1" style="56" min="18" max="18"/>
    <col width="7.77734375" customWidth="1" style="56" min="19" max="19"/>
    <col width="9.77734375" customWidth="1" style="56" min="20" max="20"/>
    <col width="10.77734375" bestFit="1" customWidth="1" style="56" min="21" max="21"/>
    <col width="20.33203125" bestFit="1" customWidth="1" style="56" min="22" max="22"/>
    <col width="21.5546875" bestFit="1" customWidth="1" style="56" min="23" max="23"/>
  </cols>
  <sheetData>
    <row r="1" ht="26.4" customHeight="1" s="56">
      <c r="A1" s="6" t="inlineStr">
        <is>
          <t>Código</t>
        </is>
      </c>
      <c r="B1" s="6" t="inlineStr">
        <is>
          <t>Estudiante</t>
        </is>
      </c>
      <c r="C1" s="6" t="inlineStr">
        <is>
          <t>C1_T1</t>
        </is>
      </c>
      <c r="D1" s="6" t="inlineStr">
        <is>
          <t>C1_T2</t>
        </is>
      </c>
      <c r="E1" s="6" t="inlineStr">
        <is>
          <t>C1_T3</t>
        </is>
      </c>
      <c r="F1" s="9" t="inlineStr">
        <is>
          <t>Proceso C1</t>
        </is>
      </c>
      <c r="G1" s="10" t="inlineStr">
        <is>
          <t>Nota C1</t>
        </is>
      </c>
      <c r="H1" s="11" t="inlineStr">
        <is>
          <t>Estado C1</t>
        </is>
      </c>
      <c r="I1" s="6" t="inlineStr">
        <is>
          <t>C2_T1</t>
        </is>
      </c>
      <c r="J1" s="6" t="inlineStr">
        <is>
          <t>C2_T2</t>
        </is>
      </c>
      <c r="K1" s="6" t="inlineStr">
        <is>
          <t>C2_T3</t>
        </is>
      </c>
      <c r="L1" s="9" t="inlineStr">
        <is>
          <t>Proceso C2</t>
        </is>
      </c>
      <c r="M1" s="10" t="inlineStr">
        <is>
          <t>Nota C2</t>
        </is>
      </c>
      <c r="N1" s="11" t="inlineStr">
        <is>
          <t>Estado C2</t>
        </is>
      </c>
      <c r="O1" s="6" t="inlineStr">
        <is>
          <t>C3_T1</t>
        </is>
      </c>
      <c r="P1" s="6" t="inlineStr">
        <is>
          <t>C3_T2</t>
        </is>
      </c>
      <c r="Q1" s="6" t="inlineStr">
        <is>
          <t>C3_T3</t>
        </is>
      </c>
      <c r="R1" s="9" t="inlineStr">
        <is>
          <t>Proceso C3</t>
        </is>
      </c>
      <c r="S1" s="10" t="inlineStr">
        <is>
          <t>Nota C3</t>
        </is>
      </c>
      <c r="T1" s="11" t="inlineStr">
        <is>
          <t>Estado C3</t>
        </is>
      </c>
      <c r="U1" s="13" t="inlineStr">
        <is>
          <t>Definitiva Semestre</t>
        </is>
      </c>
      <c r="V1" s="6" t="inlineStr">
        <is>
          <t>Objetivo Aprendizaje</t>
        </is>
      </c>
    </row>
    <row r="2">
      <c r="A2" s="38" t="inlineStr">
        <is>
          <t>2251405028</t>
        </is>
      </c>
      <c r="B2" s="7" t="inlineStr">
        <is>
          <t>BARCENAS PORTILLA ANDRES FELIPE</t>
        </is>
      </c>
      <c r="C2" s="8" t="n">
        <v>4.2</v>
      </c>
      <c r="D2" s="8" t="n">
        <v>3.8</v>
      </c>
      <c r="E2" s="8" t="n">
        <v>4.5</v>
      </c>
      <c r="F2" s="8">
        <f>AVERAGE(C2:E2)</f>
        <v/>
      </c>
      <c r="G2" s="12">
        <f>F2</f>
        <v/>
      </c>
      <c r="H2" s="8">
        <f>IF(G2&gt;=3, "Aprobado", "Reprobado")</f>
        <v/>
      </c>
      <c r="I2" s="8" t="n">
        <v>3.5</v>
      </c>
      <c r="J2" s="8" t="n">
        <v>4</v>
      </c>
      <c r="K2" s="8" t="n">
        <v>3.8</v>
      </c>
      <c r="L2" s="8">
        <f>AVERAGE(I2:K2)</f>
        <v/>
      </c>
      <c r="M2" s="12">
        <f>L2</f>
        <v/>
      </c>
      <c r="N2" s="8">
        <f>IF(M2&gt;=3, "Aprobado", "Reprobado")</f>
        <v/>
      </c>
      <c r="O2" s="8" t="n">
        <v>4.1</v>
      </c>
      <c r="P2" s="8" t="n">
        <v>4.3</v>
      </c>
      <c r="Q2" s="8" t="n">
        <v>3.6</v>
      </c>
      <c r="R2" s="8">
        <f>AVERAGE(O2:Q2)</f>
        <v/>
      </c>
      <c r="S2" s="12">
        <f>R2</f>
        <v/>
      </c>
      <c r="T2" s="8">
        <f>IF(S2&gt;=3, "Aprobado", "Reprobado")</f>
        <v/>
      </c>
      <c r="U2" s="12">
        <f>(G2*0.3)+(L2*0.3)+(R2*0.4)</f>
        <v/>
      </c>
      <c r="V2" s="7">
        <f>IF(U2&gt;=3, "Cumple Objetivos", "No Cumple")</f>
        <v/>
      </c>
    </row>
    <row r="3">
      <c r="A3" s="38" t="inlineStr">
        <is>
          <t>2251405014</t>
        </is>
      </c>
      <c r="B3" s="7" t="inlineStr">
        <is>
          <t>BENAVIDES CUASTUZA YENELYN DANIELA</t>
        </is>
      </c>
      <c r="C3" s="8" t="n">
        <v>3</v>
      </c>
      <c r="D3" s="8" t="n">
        <v>2.5</v>
      </c>
      <c r="E3" s="8" t="n">
        <v>3.2</v>
      </c>
      <c r="F3" s="8">
        <f>AVERAGE(C3:E3)</f>
        <v/>
      </c>
      <c r="G3" s="12">
        <f>F3</f>
        <v/>
      </c>
      <c r="H3" s="8">
        <f>IF(G3&gt;=3, "Aprobado", "Reprobado")</f>
        <v/>
      </c>
      <c r="I3" s="8" t="n">
        <v>3.1</v>
      </c>
      <c r="J3" s="8" t="n">
        <v>2.8</v>
      </c>
      <c r="K3" s="8" t="n">
        <v>3.4</v>
      </c>
      <c r="L3" s="8">
        <f>AVERAGE(I3:K3)</f>
        <v/>
      </c>
      <c r="M3" s="12">
        <f>L3</f>
        <v/>
      </c>
      <c r="N3" s="8">
        <f>IF(M3&gt;=3, "Aprobado", "Reprobado")</f>
        <v/>
      </c>
      <c r="O3" s="8" t="n">
        <v>4</v>
      </c>
      <c r="P3" s="8" t="n">
        <v>3.5</v>
      </c>
      <c r="Q3" s="8" t="n">
        <v>3.3</v>
      </c>
      <c r="R3" s="8">
        <f>AVERAGE(O3:Q3)</f>
        <v/>
      </c>
      <c r="S3" s="12">
        <f>R3</f>
        <v/>
      </c>
      <c r="T3" s="8">
        <f>IF(S3&gt;=3, "Aprobado", "Reprobado")</f>
        <v/>
      </c>
      <c r="U3" s="12">
        <f>(G3*0.3)+(L3*0.3)+(R3*0.4)</f>
        <v/>
      </c>
      <c r="V3" s="7">
        <f>IF(U3&gt;=3, "Cumple Objetivos", "No Cumple")</f>
        <v/>
      </c>
    </row>
    <row r="4">
      <c r="A4" s="38" t="inlineStr">
        <is>
          <t>2251405026</t>
        </is>
      </c>
      <c r="B4" s="7" t="inlineStr">
        <is>
          <t>CHIRAN ROJAS MARIO ANDRES</t>
        </is>
      </c>
      <c r="C4" s="8" t="n">
        <v>5</v>
      </c>
      <c r="D4" s="8" t="n">
        <v>4.8</v>
      </c>
      <c r="E4" s="8" t="n">
        <v>4.9</v>
      </c>
      <c r="F4" s="8">
        <f>AVERAGE(C4:E4)</f>
        <v/>
      </c>
      <c r="G4" s="12">
        <f>F4</f>
        <v/>
      </c>
      <c r="H4" s="8">
        <f>IF(G4&gt;=3, "Aprobado", "Reprobado")</f>
        <v/>
      </c>
      <c r="I4" s="8" t="n">
        <v>4.5</v>
      </c>
      <c r="J4" s="8" t="n">
        <v>4.7</v>
      </c>
      <c r="K4" s="8" t="n">
        <v>5</v>
      </c>
      <c r="L4" s="8">
        <f>AVERAGE(I4:K4)</f>
        <v/>
      </c>
      <c r="M4" s="12">
        <f>L4</f>
        <v/>
      </c>
      <c r="N4" s="8">
        <f>IF(M4&gt;=3, "Aprobado", "Reprobado")</f>
        <v/>
      </c>
      <c r="O4" s="8" t="n">
        <v>4.8</v>
      </c>
      <c r="P4" s="8" t="n">
        <v>4.9</v>
      </c>
      <c r="Q4" s="8" t="n">
        <v>5</v>
      </c>
      <c r="R4" s="8">
        <f>AVERAGE(O4:Q4)</f>
        <v/>
      </c>
      <c r="S4" s="12">
        <f>R4</f>
        <v/>
      </c>
      <c r="T4" s="8">
        <f>IF(S4&gt;=3, "Aprobado", "Reprobado")</f>
        <v/>
      </c>
      <c r="U4" s="12">
        <f>(G4*0.3)+(L4*0.3)+(R4*0.4)</f>
        <v/>
      </c>
      <c r="V4" s="7">
        <f>IF(U4&gt;=3, "Cumple Objetivos", "No Cumple")</f>
        <v/>
      </c>
    </row>
    <row r="5">
      <c r="A5" s="38" t="inlineStr">
        <is>
          <t>2251405030</t>
        </is>
      </c>
      <c r="B5" s="7" t="inlineStr">
        <is>
          <t>ENRIQUEZ ORTIZ JUAN DIEGO</t>
        </is>
      </c>
      <c r="C5" s="8" t="n">
        <v>2.1</v>
      </c>
      <c r="D5" s="8" t="n">
        <v>3</v>
      </c>
      <c r="E5" s="8" t="n">
        <v>2.8</v>
      </c>
      <c r="F5" s="8">
        <f>AVERAGE(C5:E5)</f>
        <v/>
      </c>
      <c r="G5" s="12">
        <f>F5</f>
        <v/>
      </c>
      <c r="H5" s="8">
        <f>IF(G5&gt;=3, "Aprobado", "Reprobado")</f>
        <v/>
      </c>
      <c r="I5" s="8" t="n">
        <v>2.5</v>
      </c>
      <c r="J5" s="8" t="n">
        <v>2.2</v>
      </c>
      <c r="K5" s="8" t="n">
        <v>3</v>
      </c>
      <c r="L5" s="8">
        <f>AVERAGE(I5:K5)</f>
        <v/>
      </c>
      <c r="M5" s="12">
        <f>L5</f>
        <v/>
      </c>
      <c r="N5" s="8">
        <f>IF(M5&gt;=3, "Aprobado", "Reprobado")</f>
        <v/>
      </c>
      <c r="O5" s="8" t="n">
        <v>3.1</v>
      </c>
      <c r="P5" s="8" t="n">
        <v>2.9</v>
      </c>
      <c r="Q5" s="8" t="n">
        <v>0</v>
      </c>
      <c r="R5" s="8">
        <f>AVERAGE(O5:Q5)</f>
        <v/>
      </c>
      <c r="S5" s="12">
        <f>R5</f>
        <v/>
      </c>
      <c r="T5" s="8">
        <f>IF(S5&gt;=3, "Aprobado", "Reprobado")</f>
        <v/>
      </c>
      <c r="U5" s="12">
        <f>(G5*0.3)+(L5*0.3)+(R5*0.4)</f>
        <v/>
      </c>
      <c r="V5" s="7">
        <f>IF(U5&gt;=3, "Cumple Objetivos", "No Cumple")</f>
        <v/>
      </c>
    </row>
    <row r="6">
      <c r="A6" s="38" t="inlineStr">
        <is>
          <t>1251405009</t>
        </is>
      </c>
      <c r="B6" s="7" t="inlineStr">
        <is>
          <t xml:space="preserve">GONZALEZ ARTEAGA GABRIELA </t>
        </is>
      </c>
      <c r="C6" s="8" t="n">
        <v>4</v>
      </c>
      <c r="D6" s="8" t="n">
        <v>4.2</v>
      </c>
      <c r="E6" s="8" t="n">
        <v>3.9</v>
      </c>
      <c r="F6" s="8">
        <f>AVERAGE(C6:E6)</f>
        <v/>
      </c>
      <c r="G6" s="12">
        <f>F6</f>
        <v/>
      </c>
      <c r="H6" s="8">
        <f>IF(G6&gt;=3, "Aprobado", "Reprobado")</f>
        <v/>
      </c>
      <c r="I6" s="8" t="n">
        <v>4.1</v>
      </c>
      <c r="J6" s="8" t="n">
        <v>3.8</v>
      </c>
      <c r="K6" s="8" t="n">
        <v>4.3</v>
      </c>
      <c r="L6" s="8">
        <f>AVERAGE(I6:K6)</f>
        <v/>
      </c>
      <c r="M6" s="12">
        <f>L6</f>
        <v/>
      </c>
      <c r="N6" s="8">
        <f>IF(M6&gt;=3, "Aprobado", "Reprobado")</f>
        <v/>
      </c>
      <c r="O6" s="8" t="n">
        <v>4.2</v>
      </c>
      <c r="P6" s="8" t="n">
        <v>4</v>
      </c>
      <c r="Q6" s="8" t="n">
        <v>2.1</v>
      </c>
      <c r="R6" s="8">
        <f>AVERAGE(O6:Q6)</f>
        <v/>
      </c>
      <c r="S6" s="12">
        <f>R6</f>
        <v/>
      </c>
      <c r="T6" s="8">
        <f>IF(S6&gt;=3, "Aprobado", "Reprobado")</f>
        <v/>
      </c>
      <c r="U6" s="12">
        <f>(G6*0.3)+(L6*0.3)+(R6*0.4)</f>
        <v/>
      </c>
      <c r="V6" s="7">
        <f>IF(U6&gt;=3, "Cumple Objetivos", "No Cumple")</f>
        <v/>
      </c>
    </row>
    <row r="7">
      <c r="A7" s="38" t="inlineStr">
        <is>
          <t>2251405016</t>
        </is>
      </c>
      <c r="B7" s="7" t="inlineStr">
        <is>
          <t>IBARRA PASTAS DIANA LORENA</t>
        </is>
      </c>
      <c r="C7" s="8" t="n">
        <v>3.5</v>
      </c>
      <c r="D7" s="8" t="n">
        <v>3.2</v>
      </c>
      <c r="E7" s="8" t="n">
        <v>3.8</v>
      </c>
      <c r="F7" s="8">
        <f>AVERAGE(C7:E7)</f>
        <v/>
      </c>
      <c r="G7" s="12">
        <f>F7</f>
        <v/>
      </c>
      <c r="H7" s="8">
        <f>IF(G7&gt;=3, "Aprobado", "Reprobado")</f>
        <v/>
      </c>
      <c r="I7" s="8" t="n">
        <v>3.9</v>
      </c>
      <c r="J7" s="8" t="n">
        <v>4.1</v>
      </c>
      <c r="K7" s="8" t="n">
        <v>3.7</v>
      </c>
      <c r="L7" s="8">
        <f>AVERAGE(I7:K7)</f>
        <v/>
      </c>
      <c r="M7" s="12">
        <f>L7</f>
        <v/>
      </c>
      <c r="N7" s="8">
        <f>IF(M7&gt;=3, "Aprobado", "Reprobado")</f>
        <v/>
      </c>
      <c r="O7" s="8" t="n">
        <v>4</v>
      </c>
      <c r="P7" s="8" t="n">
        <v>3.8</v>
      </c>
      <c r="Q7" s="8" t="n">
        <v>1</v>
      </c>
      <c r="R7" s="8">
        <f>AVERAGE(O7:Q7)</f>
        <v/>
      </c>
      <c r="S7" s="12">
        <f>R7</f>
        <v/>
      </c>
      <c r="T7" s="8">
        <f>IF(S7&gt;=3, "Aprobado", "Reprobado")</f>
        <v/>
      </c>
      <c r="U7" s="12">
        <f>(G7*0.3)+(L7*0.3)+(R7*0.4)</f>
        <v/>
      </c>
      <c r="V7" s="7">
        <f>IF(U7&gt;=3, "Cumple Objetivos", "No Cumple")</f>
        <v/>
      </c>
    </row>
    <row r="8">
      <c r="A8" s="38" t="inlineStr">
        <is>
          <t>1251405017</t>
        </is>
      </c>
      <c r="B8" s="7" t="inlineStr">
        <is>
          <t>JANAMEJOY MORA LAURA DANIELA</t>
        </is>
      </c>
      <c r="C8" s="8" t="n">
        <v>1.5</v>
      </c>
      <c r="D8" s="8" t="n">
        <v>2</v>
      </c>
      <c r="E8" s="8" t="n">
        <v>2.5</v>
      </c>
      <c r="F8" s="8">
        <f>AVERAGE(C8:E8)</f>
        <v/>
      </c>
      <c r="G8" s="12">
        <f>F8</f>
        <v/>
      </c>
      <c r="H8" s="8">
        <f>IF(G8&gt;=3, "Aprobado", "Reprobado")</f>
        <v/>
      </c>
      <c r="I8" s="8" t="n">
        <v>3</v>
      </c>
      <c r="J8" s="8" t="n">
        <v>2.8</v>
      </c>
      <c r="K8" s="8" t="n">
        <v>3.1</v>
      </c>
      <c r="L8" s="8">
        <f>AVERAGE(I8:K8)</f>
        <v/>
      </c>
      <c r="M8" s="12">
        <f>L8</f>
        <v/>
      </c>
      <c r="N8" s="8">
        <f>IF(M8&gt;=3, "Aprobado", "Reprobado")</f>
        <v/>
      </c>
      <c r="O8" s="8" t="n">
        <v>3.5</v>
      </c>
      <c r="P8" s="8" t="n">
        <v>3.2</v>
      </c>
      <c r="Q8" s="8" t="n">
        <v>2.5</v>
      </c>
      <c r="R8" s="8">
        <f>AVERAGE(O8:Q8)</f>
        <v/>
      </c>
      <c r="S8" s="12">
        <f>R8</f>
        <v/>
      </c>
      <c r="T8" s="8">
        <f>IF(S8&gt;=3, "Aprobado", "Reprobado")</f>
        <v/>
      </c>
      <c r="U8" s="12">
        <f>(G8*0.3)+(L8*0.3)+(R8*0.4)</f>
        <v/>
      </c>
      <c r="V8" s="7">
        <f>IF(U8&gt;=3, "Cumple Objetivos", "No Cumple")</f>
        <v/>
      </c>
    </row>
    <row r="9">
      <c r="A9" s="38" t="inlineStr">
        <is>
          <t>1251405025</t>
        </is>
      </c>
      <c r="B9" s="7" t="inlineStr">
        <is>
          <t>JIMENEZ POTOSI EVELIN YENECSY</t>
        </is>
      </c>
      <c r="C9" s="8" t="n">
        <v>4.5</v>
      </c>
      <c r="D9" s="8" t="n">
        <v>4.3</v>
      </c>
      <c r="E9" s="8" t="n">
        <v>4.6</v>
      </c>
      <c r="F9" s="8">
        <f>AVERAGE(C9:E9)</f>
        <v/>
      </c>
      <c r="G9" s="12">
        <f>F9</f>
        <v/>
      </c>
      <c r="H9" s="8">
        <f>IF(G9&gt;=3, "Aprobado", "Reprobado")</f>
        <v/>
      </c>
      <c r="I9" s="8" t="n">
        <v>4.2</v>
      </c>
      <c r="J9" s="8" t="n">
        <v>4.5</v>
      </c>
      <c r="K9" s="8" t="n">
        <v>4.4</v>
      </c>
      <c r="L9" s="8">
        <f>AVERAGE(I9:K9)</f>
        <v/>
      </c>
      <c r="M9" s="12">
        <f>L9</f>
        <v/>
      </c>
      <c r="N9" s="8">
        <f>IF(M9&gt;=3, "Aprobado", "Reprobado")</f>
        <v/>
      </c>
      <c r="O9" s="8" t="n">
        <v>4.7</v>
      </c>
      <c r="P9" s="8" t="n">
        <v>4.6</v>
      </c>
      <c r="Q9" s="8" t="n">
        <v>2</v>
      </c>
      <c r="R9" s="8">
        <f>AVERAGE(O9:Q9)</f>
        <v/>
      </c>
      <c r="S9" s="12">
        <f>R9</f>
        <v/>
      </c>
      <c r="T9" s="8">
        <f>IF(S9&gt;=3, "Aprobado", "Reprobado")</f>
        <v/>
      </c>
      <c r="U9" s="12">
        <f>(G9*0.3)+(L9*0.3)+(R9*0.4)</f>
        <v/>
      </c>
      <c r="V9" s="7">
        <f>IF(U9&gt;=3, "Cumple Objetivos", "No Cumple")</f>
        <v/>
      </c>
    </row>
    <row r="10">
      <c r="A10" s="38" t="inlineStr">
        <is>
          <t>1251405001</t>
        </is>
      </c>
      <c r="B10" s="7" t="inlineStr">
        <is>
          <t>MARINEZ SALAZAR ABEL STEPHEN</t>
        </is>
      </c>
      <c r="C10" s="8" t="n">
        <v>3.8</v>
      </c>
      <c r="D10" s="8" t="n">
        <v>3.9</v>
      </c>
      <c r="E10" s="8" t="n">
        <v>4.1</v>
      </c>
      <c r="F10" s="8">
        <f>AVERAGE(C10:E10)</f>
        <v/>
      </c>
      <c r="G10" s="12">
        <f>F10</f>
        <v/>
      </c>
      <c r="H10" s="8">
        <f>IF(G10&gt;=3, "Aprobado", "Reprobado")</f>
        <v/>
      </c>
      <c r="I10" s="8" t="n">
        <v>3.7</v>
      </c>
      <c r="J10" s="8" t="n">
        <v>4</v>
      </c>
      <c r="K10" s="8" t="n">
        <v>3.9</v>
      </c>
      <c r="L10" s="8">
        <f>AVERAGE(I10:K10)</f>
        <v/>
      </c>
      <c r="M10" s="12">
        <f>L10</f>
        <v/>
      </c>
      <c r="N10" s="8">
        <f>IF(M10&gt;=3, "Aprobado", "Reprobado")</f>
        <v/>
      </c>
      <c r="O10" s="8" t="n">
        <v>4.1</v>
      </c>
      <c r="P10" s="8" t="n">
        <v>4.2</v>
      </c>
      <c r="Q10" s="8" t="n">
        <v>3</v>
      </c>
      <c r="R10" s="8">
        <f>AVERAGE(O10:Q10)</f>
        <v/>
      </c>
      <c r="S10" s="12">
        <f>R10</f>
        <v/>
      </c>
      <c r="T10" s="8">
        <f>IF(S10&gt;=3, "Aprobado", "Reprobado")</f>
        <v/>
      </c>
      <c r="U10" s="12">
        <f>(G10*0.3)+(L10*0.3)+(R10*0.4)</f>
        <v/>
      </c>
      <c r="V10" s="7">
        <f>IF(U10&gt;=3, "Cumple Objetivos", "No Cumple")</f>
        <v/>
      </c>
    </row>
    <row r="11">
      <c r="A11" s="38" t="inlineStr">
        <is>
          <t>2251405010</t>
        </is>
      </c>
      <c r="B11" s="7" t="inlineStr">
        <is>
          <t>MOLANO GARZON SARA SOFIA</t>
        </is>
      </c>
      <c r="C11" s="8" t="n">
        <v>2.8</v>
      </c>
      <c r="D11" s="8" t="n">
        <v>3.1</v>
      </c>
      <c r="E11" s="8" t="n">
        <v>2.9</v>
      </c>
      <c r="F11" s="8">
        <f>AVERAGE(C11:E11)</f>
        <v/>
      </c>
      <c r="G11" s="12">
        <f>F11</f>
        <v/>
      </c>
      <c r="H11" s="8">
        <f>IF(G11&gt;=3, "Aprobado", "Reprobado")</f>
        <v/>
      </c>
      <c r="I11" s="8" t="n">
        <v>3.2</v>
      </c>
      <c r="J11" s="8" t="n">
        <v>2.9</v>
      </c>
      <c r="K11" s="8" t="n">
        <v>3.1</v>
      </c>
      <c r="L11" s="8">
        <f>AVERAGE(I11:K11)</f>
        <v/>
      </c>
      <c r="M11" s="12">
        <f>L11</f>
        <v/>
      </c>
      <c r="N11" s="8">
        <f>IF(M11&gt;=3, "Aprobado", "Reprobado")</f>
        <v/>
      </c>
      <c r="O11" s="8" t="n">
        <v>3</v>
      </c>
      <c r="P11" s="8" t="n">
        <v>3.3</v>
      </c>
      <c r="Q11" s="8" t="n">
        <v>3.2</v>
      </c>
      <c r="R11" s="8">
        <f>AVERAGE(O11:Q11)</f>
        <v/>
      </c>
      <c r="S11" s="12">
        <f>R11</f>
        <v/>
      </c>
      <c r="T11" s="8">
        <f>IF(S11&gt;=3, "Aprobado", "Reprobado")</f>
        <v/>
      </c>
      <c r="U11" s="12">
        <f>(G11*0.3)+(L11*0.3)+(R11*0.4)</f>
        <v/>
      </c>
      <c r="V11" s="7">
        <f>IF(U11&gt;=3, "Cumple Objetivos", "No Cumple")</f>
        <v/>
      </c>
    </row>
    <row r="12">
      <c r="A12" s="39" t="inlineStr">
        <is>
          <t>2251405020</t>
        </is>
      </c>
      <c r="B12" s="14" t="inlineStr">
        <is>
          <t>MORALES CUASPUD YOBANY ALBEIRO</t>
        </is>
      </c>
      <c r="C12" s="15" t="n">
        <v>1</v>
      </c>
      <c r="D12" s="15" t="n">
        <v>2</v>
      </c>
      <c r="E12" s="15" t="n">
        <v>1</v>
      </c>
      <c r="F12" s="15">
        <f>AVERAGE(C12:E12)</f>
        <v/>
      </c>
      <c r="G12" s="16">
        <f>F12</f>
        <v/>
      </c>
      <c r="H12" s="15">
        <f>IF(G12&gt;=3, "Aprobado", "Reprobado")</f>
        <v/>
      </c>
      <c r="I12" s="15" t="n">
        <v>4</v>
      </c>
      <c r="J12" s="15" t="n">
        <v>5</v>
      </c>
      <c r="K12" s="15" t="n">
        <v>5</v>
      </c>
      <c r="L12" s="15">
        <f>AVERAGE(I12:K12)</f>
        <v/>
      </c>
      <c r="M12" s="16">
        <f>L12</f>
        <v/>
      </c>
      <c r="N12" s="15">
        <f>IF(M12&gt;=3, "Aprobado", "Reprobado")</f>
        <v/>
      </c>
      <c r="O12" s="15" t="n">
        <v>5</v>
      </c>
      <c r="P12" s="15" t="n">
        <v>5</v>
      </c>
      <c r="Q12" s="15" t="n">
        <v>5</v>
      </c>
      <c r="R12" s="15">
        <f>AVERAGE(O12:Q12)</f>
        <v/>
      </c>
      <c r="S12" s="16">
        <f>R12</f>
        <v/>
      </c>
      <c r="T12" s="15">
        <f>IF(S12&gt;=3, "Aprobado", "Reprobado")</f>
        <v/>
      </c>
      <c r="U12" s="16">
        <f>(G12*0.3)+(L12*0.3)+(R12*0.4)</f>
        <v/>
      </c>
      <c r="V12" s="14">
        <f>IF(U12&gt;=3, "Cumple Objetivos", "No Cumple")</f>
        <v/>
      </c>
    </row>
  </sheetData>
  <conditionalFormatting sqref="H2:H12">
    <cfRule type="containsText" priority="4" operator="containsText" dxfId="7" text="Aprobado">
      <formula>NOT(ISERROR(SEARCH("Aprobado",H2)))</formula>
    </cfRule>
    <cfRule type="cellIs" priority="11" operator="greaterThanOrEqual" dxfId="1">
      <formula>3</formula>
    </cfRule>
    <cfRule type="cellIs" priority="12" operator="lessThan" dxfId="0">
      <formula>3</formula>
    </cfRule>
  </conditionalFormatting>
  <conditionalFormatting sqref="I2:I12">
    <cfRule type="cellIs" priority="7" operator="equal" dxfId="1">
      <formula>"Aprobado"</formula>
    </cfRule>
    <cfRule type="cellIs" priority="8" operator="equal" dxfId="0">
      <formula>"Reprobado"</formula>
    </cfRule>
  </conditionalFormatting>
  <conditionalFormatting sqref="N2:N12">
    <cfRule type="containsText" priority="3" operator="containsText" dxfId="7" text="Aprobado">
      <formula>NOT(ISERROR(SEARCH("Aprobado",N2)))</formula>
    </cfRule>
    <cfRule type="cellIs" priority="13" operator="greaterThanOrEqual" dxfId="1">
      <formula>3</formula>
    </cfRule>
    <cfRule type="cellIs" priority="13" operator="lessThan" dxfId="0">
      <formula>3</formula>
    </cfRule>
  </conditionalFormatting>
  <conditionalFormatting sqref="O2:O12">
    <cfRule type="cellIs" priority="14" operator="equal" dxfId="1">
      <formula>"Aprobado"</formula>
    </cfRule>
    <cfRule type="cellIs" priority="14" operator="equal" dxfId="0">
      <formula>"Reprobado"</formula>
    </cfRule>
  </conditionalFormatting>
  <conditionalFormatting sqref="T2:T12">
    <cfRule type="containsText" priority="2" operator="containsText" dxfId="7" text="Aprobado">
      <formula>NOT(ISERROR(SEARCH("Aprobado",T2)))</formula>
    </cfRule>
    <cfRule type="cellIs" priority="15" operator="greaterThanOrEqual" dxfId="1">
      <formula>3</formula>
    </cfRule>
    <cfRule type="cellIs" priority="15" operator="lessThan" dxfId="0">
      <formula>3</formula>
    </cfRule>
  </conditionalFormatting>
  <conditionalFormatting sqref="U2:U12">
    <cfRule type="cellIs" priority="16" operator="equal" dxfId="1">
      <formula>"Aprobado"</formula>
    </cfRule>
    <cfRule type="cellIs" priority="16" operator="equal" dxfId="0">
      <formula>"Reprobado"</formula>
    </cfRule>
  </conditionalFormatting>
  <conditionalFormatting sqref="V2:V12">
    <cfRule type="containsText" priority="1" operator="containsText" dxfId="7" text="Cumple Objetivos">
      <formula>NOT(ISERROR(SEARCH("Cumple Objetivos",V2)))</formula>
    </cfRule>
    <cfRule type="cellIs" priority="17" operator="greaterThanOrEqual" dxfId="1">
      <formula>3</formula>
    </cfRule>
    <cfRule type="cellIs" priority="17" operator="lessThan" dxfId="0">
      <formula>3</formula>
    </cfRule>
  </conditionalFormatting>
  <conditionalFormatting sqref="W2:W11">
    <cfRule type="cellIs" priority="19" operator="equal" dxfId="1">
      <formula>"Cumple Objetivos"</formula>
    </cfRule>
    <cfRule type="cellIs" priority="20" operator="equal" dxfId="0">
      <formula>"No Cumple"</formula>
    </cfRule>
  </conditionalFormatting>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AK99"/>
  <sheetViews>
    <sheetView workbookViewId="0">
      <selection activeCell="AK22" sqref="AK22"/>
    </sheetView>
  </sheetViews>
  <sheetFormatPr baseColWidth="10" defaultColWidth="8.88671875" defaultRowHeight="14.4"/>
  <cols>
    <col width="15" customWidth="1" style="56" min="1" max="1"/>
    <col width="38" bestFit="1" customWidth="1" style="56" min="2" max="2"/>
    <col width="6" customWidth="1" style="56" min="3" max="34"/>
    <col width="6" customWidth="1" style="56" min="4" max="4"/>
    <col width="6" customWidth="1" style="56" min="5" max="5"/>
    <col width="6" customWidth="1" style="56" min="6" max="6"/>
    <col width="6" customWidth="1" style="56" min="7" max="7"/>
    <col width="6" customWidth="1" style="56" min="8" max="8"/>
    <col width="6" customWidth="1" style="56" min="9" max="9"/>
    <col width="6" customWidth="1" style="56" min="10" max="10"/>
    <col width="6" customWidth="1" style="56" min="11" max="11"/>
    <col width="6" customWidth="1" style="56" min="12" max="12"/>
    <col width="6" customWidth="1" style="56" min="13" max="13"/>
    <col width="6" customWidth="1" style="56" min="14" max="14"/>
    <col width="6" customWidth="1" style="56" min="15" max="15"/>
    <col width="6" customWidth="1" style="56" min="16" max="16"/>
    <col width="6" customWidth="1" style="56" min="17" max="17"/>
    <col width="6" customWidth="1" style="56" min="18" max="18"/>
    <col width="6" customWidth="1" style="56" min="19" max="19"/>
    <col width="6" customWidth="1" style="56" min="20" max="20"/>
    <col width="6" customWidth="1" style="56" min="21" max="21"/>
    <col width="6" customWidth="1" style="56" min="22" max="22"/>
    <col width="6" customWidth="1" style="56" min="23" max="23"/>
    <col width="6" customWidth="1" style="56" min="24" max="24"/>
    <col width="6" customWidth="1" style="56" min="25" max="25"/>
    <col width="6" customWidth="1" style="56" min="26" max="26"/>
    <col width="6" customWidth="1" style="56" min="27" max="27"/>
    <col width="6" customWidth="1" style="56" min="28" max="28"/>
    <col width="6" customWidth="1" style="56" min="29" max="29"/>
    <col width="6" customWidth="1" style="56" min="30" max="30"/>
    <col width="6" customWidth="1" style="56" min="31" max="31"/>
    <col width="6" customWidth="1" style="56" min="32" max="32"/>
    <col width="6" customWidth="1" style="56" min="33" max="33"/>
    <col width="6" customWidth="1" style="56" min="34" max="34"/>
    <col width="6" bestFit="1" customWidth="1" style="56" min="35" max="35"/>
    <col width="9.88671875" bestFit="1" customWidth="1" style="56" min="36" max="36"/>
    <col width="16.6640625" bestFit="1" customWidth="1" style="56" min="37" max="37"/>
    <col width="15.5546875" customWidth="1" style="56" min="38" max="38"/>
  </cols>
  <sheetData>
    <row r="1" ht="39.6" customHeight="1" s="56">
      <c r="A1" s="43" t="inlineStr">
        <is>
          <t>Código</t>
        </is>
      </c>
      <c r="B1" s="43" t="inlineStr">
        <is>
          <t>Estudiante</t>
        </is>
      </c>
      <c r="C1" s="43" t="inlineStr">
        <is>
          <t>S1 C1</t>
        </is>
      </c>
      <c r="D1" s="43" t="inlineStr">
        <is>
          <t>S1 C2</t>
        </is>
      </c>
      <c r="E1" s="43" t="inlineStr">
        <is>
          <t>S2 C1</t>
        </is>
      </c>
      <c r="F1" s="43" t="inlineStr">
        <is>
          <t>S2 C2</t>
        </is>
      </c>
      <c r="G1" s="43" t="inlineStr">
        <is>
          <t>S3 C1</t>
        </is>
      </c>
      <c r="H1" s="43" t="inlineStr">
        <is>
          <t>S3 C2</t>
        </is>
      </c>
      <c r="I1" s="43" t="inlineStr">
        <is>
          <t>S4 C1</t>
        </is>
      </c>
      <c r="J1" s="43" t="inlineStr">
        <is>
          <t>S4 C2</t>
        </is>
      </c>
      <c r="K1" s="43" t="inlineStr">
        <is>
          <t>S5 C1</t>
        </is>
      </c>
      <c r="L1" s="43" t="inlineStr">
        <is>
          <t>S5 C2</t>
        </is>
      </c>
      <c r="M1" s="43" t="inlineStr">
        <is>
          <t>S6 C1</t>
        </is>
      </c>
      <c r="N1" s="43" t="inlineStr">
        <is>
          <t>S6 C2</t>
        </is>
      </c>
      <c r="O1" s="43" t="inlineStr">
        <is>
          <t>S7 C1</t>
        </is>
      </c>
      <c r="P1" s="43" t="inlineStr">
        <is>
          <t>S7 C2</t>
        </is>
      </c>
      <c r="Q1" s="43" t="inlineStr">
        <is>
          <t>S8 C1</t>
        </is>
      </c>
      <c r="R1" s="43" t="inlineStr">
        <is>
          <t>S8 C2</t>
        </is>
      </c>
      <c r="S1" s="43" t="inlineStr">
        <is>
          <t>S9 C1</t>
        </is>
      </c>
      <c r="T1" s="43" t="inlineStr">
        <is>
          <t>S9 C2</t>
        </is>
      </c>
      <c r="U1" s="43" t="inlineStr">
        <is>
          <t>S10 C1</t>
        </is>
      </c>
      <c r="V1" s="43" t="inlineStr">
        <is>
          <t>S10 C2</t>
        </is>
      </c>
      <c r="W1" s="43" t="inlineStr">
        <is>
          <t>S11 C1</t>
        </is>
      </c>
      <c r="X1" s="43" t="inlineStr">
        <is>
          <t>S11 C2</t>
        </is>
      </c>
      <c r="Y1" s="43" t="inlineStr">
        <is>
          <t>S12 C1</t>
        </is>
      </c>
      <c r="Z1" s="43" t="inlineStr">
        <is>
          <t>S12 C2</t>
        </is>
      </c>
      <c r="AA1" s="43" t="inlineStr">
        <is>
          <t>S13 C1</t>
        </is>
      </c>
      <c r="AB1" s="43" t="inlineStr">
        <is>
          <t>S13 C2</t>
        </is>
      </c>
      <c r="AC1" s="43" t="inlineStr">
        <is>
          <t>S14 C1</t>
        </is>
      </c>
      <c r="AD1" s="43" t="inlineStr">
        <is>
          <t>S14 C2</t>
        </is>
      </c>
      <c r="AE1" s="43" t="inlineStr">
        <is>
          <t>S15 C1</t>
        </is>
      </c>
      <c r="AF1" s="43" t="inlineStr">
        <is>
          <t>S15 C2</t>
        </is>
      </c>
      <c r="AG1" s="43" t="inlineStr">
        <is>
          <t>S16 C1</t>
        </is>
      </c>
      <c r="AH1" s="43" t="inlineStr">
        <is>
          <t>S16 C2</t>
        </is>
      </c>
      <c r="AI1" s="43" t="inlineStr">
        <is>
          <t>Total Faltas</t>
        </is>
      </c>
      <c r="AJ1" s="43" t="inlineStr">
        <is>
          <t>% Inasistencia</t>
        </is>
      </c>
      <c r="AK1" s="43" t="inlineStr">
        <is>
          <t>Estado Asistencia</t>
        </is>
      </c>
    </row>
    <row r="2" ht="15" customHeight="1" s="56">
      <c r="A2" s="7">
        <f>IF(Base_Notas!A2&lt;&gt;"", Base_Notas!A2, "")</f>
        <v/>
      </c>
      <c r="B2" s="7">
        <f>IF(Base_Notas!B2&lt;&gt;"", Base_Notas!B2, "")</f>
        <v/>
      </c>
      <c r="C2" s="104" t="n">
        <v>0</v>
      </c>
      <c r="D2" s="104" t="n">
        <v>0</v>
      </c>
      <c r="E2" s="104" t="n">
        <v>0</v>
      </c>
      <c r="F2" s="104" t="n">
        <v>0</v>
      </c>
      <c r="G2" s="104" t="n">
        <v>0</v>
      </c>
      <c r="H2" s="104" t="n">
        <v>0</v>
      </c>
      <c r="I2" s="104" t="n">
        <v>0</v>
      </c>
      <c r="J2" s="104" t="n">
        <v>0</v>
      </c>
      <c r="K2" s="104" t="n">
        <v>0</v>
      </c>
      <c r="L2" s="104" t="n">
        <v>0</v>
      </c>
      <c r="M2" s="104" t="n">
        <v>0</v>
      </c>
      <c r="N2" s="104" t="n">
        <v>0</v>
      </c>
      <c r="O2" s="104" t="n">
        <v>0</v>
      </c>
      <c r="P2" s="104" t="n">
        <v>0</v>
      </c>
      <c r="Q2" s="104" t="n">
        <v>0</v>
      </c>
      <c r="R2" s="104" t="n">
        <v>0</v>
      </c>
      <c r="S2" s="104" t="n">
        <v>0</v>
      </c>
      <c r="T2" s="104" t="n">
        <v>0</v>
      </c>
      <c r="U2" s="104" t="n">
        <v>0</v>
      </c>
      <c r="V2" s="104" t="n">
        <v>0</v>
      </c>
      <c r="W2" s="104" t="n">
        <v>0</v>
      </c>
      <c r="X2" s="104" t="n">
        <v>0</v>
      </c>
      <c r="Y2" s="104" t="n">
        <v>0</v>
      </c>
      <c r="Z2" s="104" t="n">
        <v>0</v>
      </c>
      <c r="AA2" s="104" t="n">
        <v>0</v>
      </c>
      <c r="AB2" s="104" t="n">
        <v>0</v>
      </c>
      <c r="AC2" s="104" t="n">
        <v>0</v>
      </c>
      <c r="AD2" s="104" t="n">
        <v>0</v>
      </c>
      <c r="AE2" s="104" t="n">
        <v>0</v>
      </c>
      <c r="AF2" s="104" t="n">
        <v>0</v>
      </c>
      <c r="AG2" s="104" t="n">
        <v>0</v>
      </c>
      <c r="AH2" s="104" t="n">
        <v>0</v>
      </c>
      <c r="AI2" s="7">
        <f>IF(B2&lt;&gt;"", SUMIF(C2:AH2, 1), "")</f>
        <v/>
      </c>
      <c r="AJ2" s="12">
        <f>IF(B2&lt;&gt;"", AI2/32, "")</f>
        <v/>
      </c>
      <c r="AK2" s="7">
        <f>IF(B2="", "", IF(AJ2&gt;0.2, "Pérdida por Faltas", "Regular"))</f>
        <v/>
      </c>
    </row>
    <row r="3" ht="15" customHeight="1" s="56">
      <c r="A3" s="7">
        <f>IF(Base_Notas!A3&lt;&gt;"", Base_Notas!A3, "")</f>
        <v/>
      </c>
      <c r="B3" s="7">
        <f>IF(Base_Notas!B3&lt;&gt;"", Base_Notas!B3, "")</f>
        <v/>
      </c>
      <c r="C3" s="105" t="n">
        <v>1</v>
      </c>
      <c r="D3" s="104" t="n">
        <v>0</v>
      </c>
      <c r="E3" s="105" t="n">
        <v>1</v>
      </c>
      <c r="F3" s="104" t="n">
        <v>0</v>
      </c>
      <c r="G3" s="105" t="n">
        <v>1</v>
      </c>
      <c r="H3" s="104" t="n">
        <v>0</v>
      </c>
      <c r="I3" s="105" t="n">
        <v>1</v>
      </c>
      <c r="J3" s="104" t="n">
        <v>0</v>
      </c>
      <c r="K3" s="105" t="n">
        <v>1</v>
      </c>
      <c r="L3" s="104" t="n">
        <v>0</v>
      </c>
      <c r="M3" s="105" t="n">
        <v>1</v>
      </c>
      <c r="N3" s="104" t="n">
        <v>0</v>
      </c>
      <c r="O3" s="105" t="n">
        <v>1</v>
      </c>
      <c r="P3" s="104" t="n">
        <v>0</v>
      </c>
      <c r="Q3" s="105" t="n">
        <v>1</v>
      </c>
      <c r="R3" s="104" t="n">
        <v>0</v>
      </c>
      <c r="S3" s="105" t="n">
        <v>1</v>
      </c>
      <c r="T3" s="104" t="n">
        <v>0</v>
      </c>
      <c r="U3" s="105" t="n">
        <v>1</v>
      </c>
      <c r="V3" s="104" t="n">
        <v>0</v>
      </c>
      <c r="W3" s="105" t="n">
        <v>1</v>
      </c>
      <c r="X3" s="104" t="n">
        <v>0</v>
      </c>
      <c r="Y3" s="105" t="n">
        <v>1</v>
      </c>
      <c r="Z3" s="104" t="n">
        <v>0</v>
      </c>
      <c r="AA3" s="105" t="n">
        <v>1</v>
      </c>
      <c r="AB3" s="104" t="n">
        <v>0</v>
      </c>
      <c r="AC3" s="105" t="n">
        <v>1</v>
      </c>
      <c r="AD3" s="104" t="n">
        <v>0</v>
      </c>
      <c r="AE3" s="105" t="n">
        <v>1</v>
      </c>
      <c r="AF3" s="104" t="n">
        <v>0</v>
      </c>
      <c r="AG3" s="105" t="n">
        <v>1</v>
      </c>
      <c r="AH3" s="104" t="n">
        <v>0</v>
      </c>
      <c r="AI3" s="7">
        <f>IF(B3&lt;&gt;"", SUMIF(C3:AH3, 1), "")</f>
        <v/>
      </c>
      <c r="AJ3" s="12">
        <f>IF(B3&lt;&gt;"", AI3/32, "")</f>
        <v/>
      </c>
      <c r="AK3" s="7">
        <f>IF(B3="", "", IF(AJ3&gt;0.2, "Pérdida por Faltas", "Regular"))</f>
        <v/>
      </c>
    </row>
    <row r="4" ht="15" customHeight="1" s="56">
      <c r="A4" s="7">
        <f>IF(Base_Notas!A4&lt;&gt;"", Base_Notas!A4, "")</f>
        <v/>
      </c>
      <c r="B4" s="7">
        <f>IF(Base_Notas!B4&lt;&gt;"", Base_Notas!B4, "")</f>
        <v/>
      </c>
      <c r="C4" s="104" t="n">
        <v>0</v>
      </c>
      <c r="D4" s="104" t="n">
        <v>0</v>
      </c>
      <c r="E4" s="104" t="n">
        <v>0</v>
      </c>
      <c r="F4" s="104" t="n">
        <v>0</v>
      </c>
      <c r="G4" s="104" t="n">
        <v>0</v>
      </c>
      <c r="H4" s="104" t="n">
        <v>0</v>
      </c>
      <c r="I4" s="104" t="n">
        <v>0</v>
      </c>
      <c r="J4" s="104" t="n">
        <v>0</v>
      </c>
      <c r="K4" s="104" t="n">
        <v>0</v>
      </c>
      <c r="L4" s="104" t="n">
        <v>0</v>
      </c>
      <c r="M4" s="104" t="n">
        <v>0</v>
      </c>
      <c r="N4" s="104" t="n">
        <v>0</v>
      </c>
      <c r="O4" s="104" t="n">
        <v>0</v>
      </c>
      <c r="P4" s="104" t="n">
        <v>0</v>
      </c>
      <c r="Q4" s="104" t="n">
        <v>0</v>
      </c>
      <c r="R4" s="104" t="n">
        <v>0</v>
      </c>
      <c r="S4" s="104" t="n">
        <v>0</v>
      </c>
      <c r="T4" s="104" t="n">
        <v>0</v>
      </c>
      <c r="U4" s="104" t="n">
        <v>0</v>
      </c>
      <c r="V4" s="104" t="n">
        <v>0</v>
      </c>
      <c r="W4" s="104" t="n">
        <v>0</v>
      </c>
      <c r="X4" s="104" t="n">
        <v>0</v>
      </c>
      <c r="Y4" s="104" t="n">
        <v>0</v>
      </c>
      <c r="Z4" s="104" t="n">
        <v>0</v>
      </c>
      <c r="AA4" s="104" t="n">
        <v>0</v>
      </c>
      <c r="AB4" s="104" t="n">
        <v>0</v>
      </c>
      <c r="AC4" s="104" t="n">
        <v>0</v>
      </c>
      <c r="AD4" s="104" t="n">
        <v>0</v>
      </c>
      <c r="AE4" s="104" t="n">
        <v>0</v>
      </c>
      <c r="AF4" s="104" t="n">
        <v>0</v>
      </c>
      <c r="AG4" s="104" t="n">
        <v>0</v>
      </c>
      <c r="AH4" s="104" t="n">
        <v>0</v>
      </c>
      <c r="AI4" s="7">
        <f>IF(B4&lt;&gt;"", SUMIF(C4:AH4, 1), "")</f>
        <v/>
      </c>
      <c r="AJ4" s="12">
        <f>IF(B4&lt;&gt;"", AI4/32, "")</f>
        <v/>
      </c>
      <c r="AK4" s="7">
        <f>IF(B4="", "", IF(AJ4&gt;0.2, "Pérdida por Faltas", "Regular"))</f>
        <v/>
      </c>
    </row>
    <row r="5" ht="15" customHeight="1" s="56">
      <c r="A5" s="7">
        <f>IF(Base_Notas!A5&lt;&gt;"", Base_Notas!A5, "")</f>
        <v/>
      </c>
      <c r="B5" s="7">
        <f>IF(Base_Notas!B5&lt;&gt;"", Base_Notas!B5, "")</f>
        <v/>
      </c>
      <c r="C5" s="105" t="n">
        <v>1</v>
      </c>
      <c r="D5" s="105" t="n">
        <v>1</v>
      </c>
      <c r="E5" s="105" t="n">
        <v>1</v>
      </c>
      <c r="F5" s="104" t="n">
        <v>0</v>
      </c>
      <c r="G5" s="105" t="n">
        <v>1</v>
      </c>
      <c r="H5" s="105" t="n">
        <v>1</v>
      </c>
      <c r="I5" s="105" t="n">
        <v>1</v>
      </c>
      <c r="J5" s="104" t="n">
        <v>0</v>
      </c>
      <c r="K5" s="104" t="n">
        <v>0</v>
      </c>
      <c r="L5" s="104" t="n">
        <v>0</v>
      </c>
      <c r="M5" s="104" t="n">
        <v>0</v>
      </c>
      <c r="N5" s="104" t="n">
        <v>0</v>
      </c>
      <c r="O5" s="104" t="n">
        <v>0</v>
      </c>
      <c r="P5" s="104" t="n">
        <v>0</v>
      </c>
      <c r="Q5" s="104" t="n">
        <v>0</v>
      </c>
      <c r="R5" s="104" t="n">
        <v>0</v>
      </c>
      <c r="S5" s="104" t="n">
        <v>0</v>
      </c>
      <c r="T5" s="104" t="n">
        <v>0</v>
      </c>
      <c r="U5" s="104" t="n">
        <v>0</v>
      </c>
      <c r="V5" s="104" t="n">
        <v>0</v>
      </c>
      <c r="W5" s="104" t="n">
        <v>0</v>
      </c>
      <c r="X5" s="104" t="n">
        <v>0</v>
      </c>
      <c r="Y5" s="104" t="n">
        <v>0</v>
      </c>
      <c r="Z5" s="104" t="n">
        <v>0</v>
      </c>
      <c r="AA5" s="104" t="n">
        <v>0</v>
      </c>
      <c r="AB5" s="104" t="n">
        <v>0</v>
      </c>
      <c r="AC5" s="104" t="n">
        <v>0</v>
      </c>
      <c r="AD5" s="104" t="n">
        <v>0</v>
      </c>
      <c r="AE5" s="104" t="n">
        <v>0</v>
      </c>
      <c r="AF5" s="104" t="n">
        <v>0</v>
      </c>
      <c r="AG5" s="104" t="n">
        <v>0</v>
      </c>
      <c r="AH5" s="104" t="n">
        <v>0</v>
      </c>
      <c r="AI5" s="7">
        <f>IF(B5&lt;&gt;"", SUMIF(C5:AH5, 1), "")</f>
        <v/>
      </c>
      <c r="AJ5" s="12">
        <f>IF(B5&lt;&gt;"", AI5/32, "")</f>
        <v/>
      </c>
      <c r="AK5" s="7">
        <f>IF(B5="", "", IF(AJ5&gt;0.2, "Pérdida por Faltas", "Regular"))</f>
        <v/>
      </c>
    </row>
    <row r="6" ht="15" customHeight="1" s="56">
      <c r="A6" s="7">
        <f>IF(Base_Notas!A6&lt;&gt;"", Base_Notas!A6, "")</f>
        <v/>
      </c>
      <c r="B6" s="7">
        <f>IF(Base_Notas!B6&lt;&gt;"", Base_Notas!B6, "")</f>
        <v/>
      </c>
      <c r="C6" s="104" t="n">
        <v>0</v>
      </c>
      <c r="D6" s="104" t="n">
        <v>0</v>
      </c>
      <c r="E6" s="104" t="n">
        <v>0</v>
      </c>
      <c r="F6" s="104" t="n">
        <v>0</v>
      </c>
      <c r="G6" s="104" t="n">
        <v>0</v>
      </c>
      <c r="H6" s="104" t="n">
        <v>0</v>
      </c>
      <c r="I6" s="104" t="n">
        <v>0</v>
      </c>
      <c r="J6" s="104" t="n">
        <v>0</v>
      </c>
      <c r="K6" s="104" t="n">
        <v>0</v>
      </c>
      <c r="L6" s="104" t="n">
        <v>0</v>
      </c>
      <c r="M6" s="104" t="n">
        <v>0</v>
      </c>
      <c r="N6" s="104" t="n">
        <v>0</v>
      </c>
      <c r="O6" s="104" t="n">
        <v>0</v>
      </c>
      <c r="P6" s="104" t="n">
        <v>0</v>
      </c>
      <c r="Q6" s="104" t="n">
        <v>0</v>
      </c>
      <c r="R6" s="104" t="n">
        <v>0</v>
      </c>
      <c r="S6" s="104" t="n">
        <v>0</v>
      </c>
      <c r="T6" s="104" t="n">
        <v>0</v>
      </c>
      <c r="U6" s="104" t="n">
        <v>0</v>
      </c>
      <c r="V6" s="104" t="n">
        <v>0</v>
      </c>
      <c r="W6" s="104" t="n">
        <v>0</v>
      </c>
      <c r="X6" s="104" t="n">
        <v>0</v>
      </c>
      <c r="Y6" s="104" t="n">
        <v>0</v>
      </c>
      <c r="Z6" s="104" t="n">
        <v>0</v>
      </c>
      <c r="AA6" s="104" t="n">
        <v>0</v>
      </c>
      <c r="AB6" s="104" t="n">
        <v>0</v>
      </c>
      <c r="AC6" s="104" t="n">
        <v>0</v>
      </c>
      <c r="AD6" s="104" t="n">
        <v>0</v>
      </c>
      <c r="AE6" s="104" t="n">
        <v>0</v>
      </c>
      <c r="AF6" s="104" t="n">
        <v>0</v>
      </c>
      <c r="AG6" s="104" t="n">
        <v>0</v>
      </c>
      <c r="AH6" s="104" t="n">
        <v>0</v>
      </c>
      <c r="AI6" s="7">
        <f>IF(B6&lt;&gt;"", SUMIF(C6:AH6, 1), "")</f>
        <v/>
      </c>
      <c r="AJ6" s="12">
        <f>IF(B6&lt;&gt;"", AI6/32, "")</f>
        <v/>
      </c>
      <c r="AK6" s="7">
        <f>IF(B6="", "", IF(AJ6&gt;0.2, "Pérdida por Faltas", "Regular"))</f>
        <v/>
      </c>
    </row>
    <row r="7" ht="15" customHeight="1" s="56">
      <c r="A7" s="7">
        <f>IF(Base_Notas!A7&lt;&gt;"", Base_Notas!A7, "")</f>
        <v/>
      </c>
      <c r="B7" s="7">
        <f>IF(Base_Notas!B7&lt;&gt;"", Base_Notas!B7, "")</f>
        <v/>
      </c>
      <c r="C7" s="104" t="n">
        <v>0</v>
      </c>
      <c r="D7" s="104" t="n">
        <v>0</v>
      </c>
      <c r="E7" s="104" t="n">
        <v>0</v>
      </c>
      <c r="F7" s="104" t="n">
        <v>0</v>
      </c>
      <c r="G7" s="104" t="n">
        <v>0</v>
      </c>
      <c r="H7" s="104" t="n">
        <v>0</v>
      </c>
      <c r="I7" s="104" t="n">
        <v>0</v>
      </c>
      <c r="J7" s="104" t="n">
        <v>0</v>
      </c>
      <c r="K7" s="104" t="n">
        <v>0</v>
      </c>
      <c r="L7" s="104" t="n">
        <v>0</v>
      </c>
      <c r="M7" s="104" t="n">
        <v>0</v>
      </c>
      <c r="N7" s="104" t="n">
        <v>0</v>
      </c>
      <c r="O7" s="104" t="n">
        <v>0</v>
      </c>
      <c r="P7" s="104" t="n">
        <v>0</v>
      </c>
      <c r="Q7" s="104" t="n">
        <v>0</v>
      </c>
      <c r="R7" s="104" t="n">
        <v>0</v>
      </c>
      <c r="S7" s="104" t="n">
        <v>0</v>
      </c>
      <c r="T7" s="104" t="n">
        <v>0</v>
      </c>
      <c r="U7" s="104" t="n">
        <v>0</v>
      </c>
      <c r="V7" s="104" t="n">
        <v>0</v>
      </c>
      <c r="W7" s="104" t="n">
        <v>0</v>
      </c>
      <c r="X7" s="104" t="n">
        <v>0</v>
      </c>
      <c r="Y7" s="104" t="n">
        <v>0</v>
      </c>
      <c r="Z7" s="104" t="n">
        <v>0</v>
      </c>
      <c r="AA7" s="104" t="n">
        <v>0</v>
      </c>
      <c r="AB7" s="104" t="n">
        <v>0</v>
      </c>
      <c r="AC7" s="104" t="n">
        <v>0</v>
      </c>
      <c r="AD7" s="104" t="n">
        <v>0</v>
      </c>
      <c r="AE7" s="104" t="n">
        <v>0</v>
      </c>
      <c r="AF7" s="104" t="n">
        <v>0</v>
      </c>
      <c r="AG7" s="104" t="n">
        <v>0</v>
      </c>
      <c r="AH7" s="104" t="n">
        <v>0</v>
      </c>
      <c r="AI7" s="7">
        <f>IF(B7&lt;&gt;"", SUMIF(C7:AH7, 1), "")</f>
        <v/>
      </c>
      <c r="AJ7" s="12">
        <f>IF(B7&lt;&gt;"", AI7/32, "")</f>
        <v/>
      </c>
      <c r="AK7" s="7">
        <f>IF(B7="", "", IF(AJ7&gt;0.2, "Pérdida por Faltas", "Regular"))</f>
        <v/>
      </c>
    </row>
    <row r="8" ht="15" customHeight="1" s="56">
      <c r="A8" s="7">
        <f>IF(Base_Notas!A8&lt;&gt;"", Base_Notas!A8, "")</f>
        <v/>
      </c>
      <c r="B8" s="7">
        <f>IF(Base_Notas!B8&lt;&gt;"", Base_Notas!B8, "")</f>
        <v/>
      </c>
      <c r="C8" s="105" t="n">
        <v>1</v>
      </c>
      <c r="D8" s="105" t="n">
        <v>1</v>
      </c>
      <c r="E8" s="105" t="n">
        <v>1</v>
      </c>
      <c r="F8" s="105" t="n">
        <v>1</v>
      </c>
      <c r="G8" s="105" t="n">
        <v>1</v>
      </c>
      <c r="H8" s="105" t="n">
        <v>1</v>
      </c>
      <c r="I8" s="105" t="n">
        <v>1</v>
      </c>
      <c r="J8" s="105" t="n">
        <v>1</v>
      </c>
      <c r="K8" s="104" t="n">
        <v>0</v>
      </c>
      <c r="L8" s="104" t="n">
        <v>0</v>
      </c>
      <c r="M8" s="104" t="n">
        <v>0</v>
      </c>
      <c r="N8" s="104" t="n">
        <v>0</v>
      </c>
      <c r="O8" s="104" t="n">
        <v>0</v>
      </c>
      <c r="P8" s="104" t="n">
        <v>0</v>
      </c>
      <c r="Q8" s="104" t="n">
        <v>0</v>
      </c>
      <c r="R8" s="104" t="n">
        <v>0</v>
      </c>
      <c r="S8" s="104" t="n">
        <v>0</v>
      </c>
      <c r="T8" s="104" t="n">
        <v>0</v>
      </c>
      <c r="U8" s="104" t="n">
        <v>0</v>
      </c>
      <c r="V8" s="104" t="n">
        <v>0</v>
      </c>
      <c r="W8" s="104" t="n">
        <v>0</v>
      </c>
      <c r="X8" s="104" t="n">
        <v>0</v>
      </c>
      <c r="Y8" s="104" t="n">
        <v>0</v>
      </c>
      <c r="Z8" s="104" t="n">
        <v>0</v>
      </c>
      <c r="AA8" s="104" t="n">
        <v>0</v>
      </c>
      <c r="AB8" s="104" t="n">
        <v>0</v>
      </c>
      <c r="AC8" s="104" t="n">
        <v>0</v>
      </c>
      <c r="AD8" s="104" t="n">
        <v>0</v>
      </c>
      <c r="AE8" s="104" t="n">
        <v>0</v>
      </c>
      <c r="AF8" s="104" t="n">
        <v>0</v>
      </c>
      <c r="AG8" s="104" t="n">
        <v>0</v>
      </c>
      <c r="AH8" s="104" t="n">
        <v>0</v>
      </c>
      <c r="AI8" s="7">
        <f>IF(B8&lt;&gt;"", SUMIF(C8:AH8, 1), "")</f>
        <v/>
      </c>
      <c r="AJ8" s="12">
        <f>IF(B8&lt;&gt;"", AI8/32, "")</f>
        <v/>
      </c>
      <c r="AK8" s="7">
        <f>IF(B8="", "", IF(AJ8&gt;0.2, "Pérdida por Faltas", "Regular"))</f>
        <v/>
      </c>
    </row>
    <row r="9" ht="15" customHeight="1" s="56">
      <c r="A9" s="7">
        <f>IF(Base_Notas!A9&lt;&gt;"", Base_Notas!A9, "")</f>
        <v/>
      </c>
      <c r="B9" s="7">
        <f>IF(Base_Notas!B9&lt;&gt;"", Base_Notas!B9, "")</f>
        <v/>
      </c>
      <c r="C9" s="104" t="n">
        <v>0</v>
      </c>
      <c r="D9" s="104" t="n">
        <v>0</v>
      </c>
      <c r="E9" s="104" t="n">
        <v>0</v>
      </c>
      <c r="F9" s="104" t="n">
        <v>0</v>
      </c>
      <c r="G9" s="104" t="n">
        <v>0</v>
      </c>
      <c r="H9" s="104" t="n">
        <v>0</v>
      </c>
      <c r="I9" s="104" t="n">
        <v>0</v>
      </c>
      <c r="J9" s="104" t="n">
        <v>0</v>
      </c>
      <c r="K9" s="104" t="n">
        <v>0</v>
      </c>
      <c r="L9" s="104" t="n">
        <v>0</v>
      </c>
      <c r="M9" s="104" t="n">
        <v>0</v>
      </c>
      <c r="N9" s="104" t="n">
        <v>0</v>
      </c>
      <c r="O9" s="104" t="n">
        <v>0</v>
      </c>
      <c r="P9" s="104" t="n">
        <v>0</v>
      </c>
      <c r="Q9" s="104" t="n">
        <v>0</v>
      </c>
      <c r="R9" s="104" t="n">
        <v>0</v>
      </c>
      <c r="S9" s="104" t="n">
        <v>0</v>
      </c>
      <c r="T9" s="104" t="n">
        <v>0</v>
      </c>
      <c r="U9" s="104" t="n">
        <v>0</v>
      </c>
      <c r="V9" s="104" t="n">
        <v>0</v>
      </c>
      <c r="W9" s="104" t="n">
        <v>0</v>
      </c>
      <c r="X9" s="104" t="n">
        <v>0</v>
      </c>
      <c r="Y9" s="104" t="n">
        <v>0</v>
      </c>
      <c r="Z9" s="104" t="n">
        <v>0</v>
      </c>
      <c r="AA9" s="104" t="n">
        <v>0</v>
      </c>
      <c r="AB9" s="104" t="n">
        <v>0</v>
      </c>
      <c r="AC9" s="104" t="n">
        <v>0</v>
      </c>
      <c r="AD9" s="104" t="n">
        <v>0</v>
      </c>
      <c r="AE9" s="104" t="n">
        <v>0</v>
      </c>
      <c r="AF9" s="104" t="n">
        <v>0</v>
      </c>
      <c r="AG9" s="104" t="n">
        <v>0</v>
      </c>
      <c r="AH9" s="104" t="n">
        <v>0</v>
      </c>
      <c r="AI9" s="7">
        <f>IF(B9&lt;&gt;"", SUMIF(C9:AH9, 1), "")</f>
        <v/>
      </c>
      <c r="AJ9" s="12">
        <f>IF(B9&lt;&gt;"", AI9/32, "")</f>
        <v/>
      </c>
      <c r="AK9" s="7">
        <f>IF(B9="", "", IF(AJ9&gt;0.2, "Pérdida por Faltas", "Regular"))</f>
        <v/>
      </c>
    </row>
    <row r="10" ht="15" customHeight="1" s="56">
      <c r="A10" s="7">
        <f>IF(Base_Notas!A10&lt;&gt;"", Base_Notas!A10, "")</f>
        <v/>
      </c>
      <c r="B10" s="7">
        <f>IF(Base_Notas!B10&lt;&gt;"", Base_Notas!B10, "")</f>
        <v/>
      </c>
      <c r="C10" s="104" t="n">
        <v>0</v>
      </c>
      <c r="D10" s="104" t="n">
        <v>0</v>
      </c>
      <c r="E10" s="104" t="n">
        <v>0</v>
      </c>
      <c r="F10" s="104" t="n">
        <v>0</v>
      </c>
      <c r="G10" s="104" t="n">
        <v>0</v>
      </c>
      <c r="H10" s="104" t="n">
        <v>0</v>
      </c>
      <c r="I10" s="104" t="n">
        <v>0</v>
      </c>
      <c r="J10" s="104" t="n">
        <v>0</v>
      </c>
      <c r="K10" s="104" t="n">
        <v>0</v>
      </c>
      <c r="L10" s="104" t="n">
        <v>0</v>
      </c>
      <c r="M10" s="104" t="n">
        <v>0</v>
      </c>
      <c r="N10" s="104" t="n">
        <v>0</v>
      </c>
      <c r="O10" s="104" t="n">
        <v>0</v>
      </c>
      <c r="P10" s="104" t="n">
        <v>0</v>
      </c>
      <c r="Q10" s="104" t="n">
        <v>0</v>
      </c>
      <c r="R10" s="104" t="n">
        <v>0</v>
      </c>
      <c r="S10" s="104" t="n">
        <v>0</v>
      </c>
      <c r="T10" s="104" t="n">
        <v>0</v>
      </c>
      <c r="U10" s="104" t="n">
        <v>0</v>
      </c>
      <c r="V10" s="104" t="n">
        <v>0</v>
      </c>
      <c r="W10" s="104" t="n">
        <v>0</v>
      </c>
      <c r="X10" s="104" t="n">
        <v>0</v>
      </c>
      <c r="Y10" s="104" t="n">
        <v>0</v>
      </c>
      <c r="Z10" s="104" t="n">
        <v>0</v>
      </c>
      <c r="AA10" s="104" t="n">
        <v>0</v>
      </c>
      <c r="AB10" s="104" t="n">
        <v>0</v>
      </c>
      <c r="AC10" s="104" t="n">
        <v>0</v>
      </c>
      <c r="AD10" s="104" t="n">
        <v>0</v>
      </c>
      <c r="AE10" s="104" t="n">
        <v>0</v>
      </c>
      <c r="AF10" s="104" t="n">
        <v>0</v>
      </c>
      <c r="AG10" s="104" t="n">
        <v>0</v>
      </c>
      <c r="AH10" s="104" t="n">
        <v>0</v>
      </c>
      <c r="AI10" s="7">
        <f>IF(B10&lt;&gt;"", SUMIF(C10:AH10, 1), "")</f>
        <v/>
      </c>
      <c r="AJ10" s="12">
        <f>IF(B10&lt;&gt;"", AI10/32, "")</f>
        <v/>
      </c>
      <c r="AK10" s="7">
        <f>IF(B10="", "", IF(AJ10&gt;0.2, "Pérdida por Faltas", "Regular"))</f>
        <v/>
      </c>
    </row>
    <row r="11" ht="15" customHeight="1" s="56">
      <c r="A11" s="7">
        <f>IF(Base_Notas!A11&lt;&gt;"", Base_Notas!A11, "")</f>
        <v/>
      </c>
      <c r="B11" s="7">
        <f>IF(Base_Notas!B11&lt;&gt;"", Base_Notas!B11, "")</f>
        <v/>
      </c>
      <c r="C11" s="104" t="n">
        <v>0</v>
      </c>
      <c r="D11" s="104" t="n">
        <v>0</v>
      </c>
      <c r="E11" s="104" t="n">
        <v>0</v>
      </c>
      <c r="F11" s="104" t="n">
        <v>0</v>
      </c>
      <c r="G11" s="104" t="n">
        <v>0</v>
      </c>
      <c r="H11" s="104" t="n">
        <v>0</v>
      </c>
      <c r="I11" s="104" t="n">
        <v>0</v>
      </c>
      <c r="J11" s="104" t="n">
        <v>0</v>
      </c>
      <c r="K11" s="104" t="n">
        <v>0</v>
      </c>
      <c r="L11" s="104" t="n">
        <v>0</v>
      </c>
      <c r="M11" s="104" t="n">
        <v>0</v>
      </c>
      <c r="N11" s="104" t="n">
        <v>0</v>
      </c>
      <c r="O11" s="104" t="n">
        <v>0</v>
      </c>
      <c r="P11" s="104" t="n">
        <v>0</v>
      </c>
      <c r="Q11" s="104" t="n">
        <v>0</v>
      </c>
      <c r="R11" s="104" t="n">
        <v>0</v>
      </c>
      <c r="S11" s="104" t="n">
        <v>0</v>
      </c>
      <c r="T11" s="104" t="n">
        <v>0</v>
      </c>
      <c r="U11" s="104" t="n">
        <v>0</v>
      </c>
      <c r="V11" s="104" t="n">
        <v>0</v>
      </c>
      <c r="W11" s="104" t="n">
        <v>0</v>
      </c>
      <c r="X11" s="104" t="n">
        <v>0</v>
      </c>
      <c r="Y11" s="104" t="n">
        <v>0</v>
      </c>
      <c r="Z11" s="104" t="n">
        <v>0</v>
      </c>
      <c r="AA11" s="104" t="n">
        <v>0</v>
      </c>
      <c r="AB11" s="104" t="n">
        <v>0</v>
      </c>
      <c r="AC11" s="104" t="n">
        <v>0</v>
      </c>
      <c r="AD11" s="104" t="n">
        <v>0</v>
      </c>
      <c r="AE11" s="104" t="n">
        <v>0</v>
      </c>
      <c r="AF11" s="104" t="n">
        <v>0</v>
      </c>
      <c r="AG11" s="104" t="n">
        <v>0</v>
      </c>
      <c r="AH11" s="104" t="n">
        <v>0</v>
      </c>
      <c r="AI11" s="7">
        <f>IF(B11&lt;&gt;"", SUMIF(C11:AH11, 1), "")</f>
        <v/>
      </c>
      <c r="AJ11" s="12">
        <f>IF(B11&lt;&gt;"", AI11/32, "")</f>
        <v/>
      </c>
      <c r="AK11" s="7">
        <f>IF(B11="", "", IF(AJ11&gt;0.2, "Pérdida por Faltas", "Regular"))</f>
        <v/>
      </c>
    </row>
    <row r="12" ht="15" customHeight="1" s="56">
      <c r="A12" s="14">
        <f>IF(Base_Notas!A12&lt;&gt;"", Base_Notas!A12, "")</f>
        <v/>
      </c>
      <c r="B12" s="14">
        <f>IF(Base_Notas!B12&lt;&gt;"", Base_Notas!B12, "")</f>
        <v/>
      </c>
      <c r="C12" s="105" t="n">
        <v>1</v>
      </c>
      <c r="D12" s="104" t="n">
        <v>0</v>
      </c>
      <c r="E12" s="104" t="n">
        <v>0</v>
      </c>
      <c r="F12" s="104" t="n">
        <v>0</v>
      </c>
      <c r="G12" s="104" t="n">
        <v>0</v>
      </c>
      <c r="H12" s="104" t="n">
        <v>0</v>
      </c>
      <c r="I12" s="104" t="n">
        <v>0</v>
      </c>
      <c r="J12" s="104" t="n">
        <v>0</v>
      </c>
      <c r="K12" s="104" t="n">
        <v>0</v>
      </c>
      <c r="L12" s="105" t="n">
        <v>1</v>
      </c>
      <c r="M12" s="104" t="n">
        <v>0</v>
      </c>
      <c r="N12" s="105" t="n">
        <v>1</v>
      </c>
      <c r="O12" s="105" t="n">
        <v>1</v>
      </c>
      <c r="P12" s="105" t="n">
        <v>1</v>
      </c>
      <c r="Q12" s="105" t="n">
        <v>1</v>
      </c>
      <c r="R12" s="104" t="n">
        <v>0</v>
      </c>
      <c r="S12" s="104" t="n">
        <v>0</v>
      </c>
      <c r="T12" s="104" t="n">
        <v>0</v>
      </c>
      <c r="U12" s="104" t="n">
        <v>0</v>
      </c>
      <c r="V12" s="104" t="n">
        <v>0</v>
      </c>
      <c r="W12" s="104" t="n">
        <v>0</v>
      </c>
      <c r="X12" s="104" t="n">
        <v>0</v>
      </c>
      <c r="Y12" s="104" t="n">
        <v>0</v>
      </c>
      <c r="Z12" s="104" t="n">
        <v>0</v>
      </c>
      <c r="AA12" s="104" t="n">
        <v>0</v>
      </c>
      <c r="AB12" s="104" t="n">
        <v>0</v>
      </c>
      <c r="AC12" s="104" t="n">
        <v>0</v>
      </c>
      <c r="AD12" s="104" t="n">
        <v>0</v>
      </c>
      <c r="AE12" s="104" t="n">
        <v>0</v>
      </c>
      <c r="AF12" s="104" t="n">
        <v>0</v>
      </c>
      <c r="AG12" s="104" t="n">
        <v>0</v>
      </c>
      <c r="AH12" s="104" t="n">
        <v>0</v>
      </c>
      <c r="AI12" s="14">
        <f>IF(B12&lt;&gt;"", SUMIF(C12:AH12, 1), "")</f>
        <v/>
      </c>
      <c r="AJ12" s="12">
        <f>IF(B12&lt;&gt;"", AI12/32, "")</f>
        <v/>
      </c>
      <c r="AK12" s="14">
        <f>IF(B12="", "", IF(AJ12&gt;0.2, "Pérdida por Faltas", "Regular"))</f>
        <v/>
      </c>
    </row>
    <row r="13">
      <c r="A13">
        <f>IF(Base_Notas!A13&lt;&gt;"", Base_Notas!A13, "")</f>
        <v/>
      </c>
      <c r="B13">
        <f>IF(Base_Notas!B13&lt;&gt;"", Base_Notas!B13, "")</f>
        <v/>
      </c>
      <c r="C13" s="104" t="n">
        <v>0</v>
      </c>
      <c r="D13" s="104" t="n">
        <v>0</v>
      </c>
      <c r="E13" s="104" t="n">
        <v>0</v>
      </c>
      <c r="F13" s="104" t="n">
        <v>0</v>
      </c>
      <c r="G13" s="104" t="n">
        <v>0</v>
      </c>
      <c r="H13" s="104" t="n">
        <v>0</v>
      </c>
      <c r="I13" s="104" t="n">
        <v>0</v>
      </c>
      <c r="J13" s="104" t="n">
        <v>0</v>
      </c>
      <c r="K13" s="104" t="n">
        <v>0</v>
      </c>
      <c r="L13" s="104" t="n">
        <v>0</v>
      </c>
      <c r="M13" s="104" t="n">
        <v>0</v>
      </c>
      <c r="N13" s="104" t="n">
        <v>0</v>
      </c>
      <c r="O13" s="104" t="n">
        <v>0</v>
      </c>
      <c r="P13" s="104" t="n">
        <v>0</v>
      </c>
      <c r="Q13" s="104" t="n">
        <v>0</v>
      </c>
      <c r="R13" s="104" t="n">
        <v>0</v>
      </c>
      <c r="S13" s="104" t="n">
        <v>0</v>
      </c>
      <c r="T13" s="104" t="n">
        <v>0</v>
      </c>
      <c r="U13" s="104" t="n">
        <v>0</v>
      </c>
      <c r="V13" s="104" t="n">
        <v>0</v>
      </c>
      <c r="W13" s="104" t="n">
        <v>0</v>
      </c>
      <c r="X13" s="104" t="n">
        <v>0</v>
      </c>
      <c r="Y13" s="104" t="n">
        <v>0</v>
      </c>
      <c r="Z13" s="104" t="n">
        <v>0</v>
      </c>
      <c r="AA13" s="104" t="n">
        <v>0</v>
      </c>
      <c r="AB13" s="104" t="n">
        <v>0</v>
      </c>
      <c r="AC13" s="104" t="n">
        <v>0</v>
      </c>
      <c r="AD13" s="104" t="n">
        <v>0</v>
      </c>
      <c r="AE13" s="104" t="n">
        <v>0</v>
      </c>
      <c r="AF13" s="104" t="n">
        <v>0</v>
      </c>
      <c r="AG13" s="104" t="n">
        <v>0</v>
      </c>
      <c r="AH13" s="104" t="n">
        <v>0</v>
      </c>
      <c r="AI13">
        <f>IF(B13&lt;&gt;"", SUMIF(C13:AH13, 1), "")</f>
        <v/>
      </c>
      <c r="AJ13">
        <f>IF(B13&lt;&gt;"", AI13/32, "")</f>
        <v/>
      </c>
      <c r="AK13">
        <f>IF(B13="", "", IF(AJ13&gt;0.2, "Pérdida por Faltas", "Regular"))</f>
        <v/>
      </c>
    </row>
    <row r="14">
      <c r="A14">
        <f>IF(Base_Notas!A14&lt;&gt;"", Base_Notas!A14, "")</f>
        <v/>
      </c>
      <c r="B14">
        <f>IF(Base_Notas!B14&lt;&gt;"", Base_Notas!B14, "")</f>
        <v/>
      </c>
      <c r="C14" s="104" t="n">
        <v>0</v>
      </c>
      <c r="D14" s="104" t="n">
        <v>0</v>
      </c>
      <c r="E14" s="104" t="n">
        <v>0</v>
      </c>
      <c r="F14" s="104" t="n">
        <v>0</v>
      </c>
      <c r="G14" s="104" t="n">
        <v>0</v>
      </c>
      <c r="H14" s="104" t="n">
        <v>0</v>
      </c>
      <c r="I14" s="104" t="n">
        <v>0</v>
      </c>
      <c r="J14" s="104" t="n">
        <v>0</v>
      </c>
      <c r="K14" s="104" t="n">
        <v>0</v>
      </c>
      <c r="L14" s="104" t="n">
        <v>0</v>
      </c>
      <c r="M14" s="104" t="n">
        <v>0</v>
      </c>
      <c r="N14" s="104" t="n">
        <v>0</v>
      </c>
      <c r="O14" s="104" t="n">
        <v>0</v>
      </c>
      <c r="P14" s="104" t="n">
        <v>0</v>
      </c>
      <c r="Q14" s="104" t="n">
        <v>0</v>
      </c>
      <c r="R14" s="104" t="n">
        <v>0</v>
      </c>
      <c r="S14" s="104" t="n">
        <v>0</v>
      </c>
      <c r="T14" s="104" t="n">
        <v>0</v>
      </c>
      <c r="U14" s="104" t="n">
        <v>0</v>
      </c>
      <c r="V14" s="104" t="n">
        <v>0</v>
      </c>
      <c r="W14" s="104" t="n">
        <v>0</v>
      </c>
      <c r="X14" s="104" t="n">
        <v>0</v>
      </c>
      <c r="Y14" s="104" t="n">
        <v>0</v>
      </c>
      <c r="Z14" s="104" t="n">
        <v>0</v>
      </c>
      <c r="AA14" s="104" t="n">
        <v>0</v>
      </c>
      <c r="AB14" s="104" t="n">
        <v>0</v>
      </c>
      <c r="AC14" s="104" t="n">
        <v>0</v>
      </c>
      <c r="AD14" s="104" t="n">
        <v>0</v>
      </c>
      <c r="AE14" s="104" t="n">
        <v>0</v>
      </c>
      <c r="AF14" s="104" t="n">
        <v>0</v>
      </c>
      <c r="AG14" s="104" t="n">
        <v>0</v>
      </c>
      <c r="AH14" s="104" t="n">
        <v>0</v>
      </c>
      <c r="AI14">
        <f>IF(B14&lt;&gt;"", SUMIF(C14:AH14, 1), "")</f>
        <v/>
      </c>
      <c r="AJ14">
        <f>IF(B14&lt;&gt;"", AI14/32, "")</f>
        <v/>
      </c>
      <c r="AK14">
        <f>IF(B14="", "", IF(AJ14&gt;0.2, "Pérdida por Faltas", "Regular"))</f>
        <v/>
      </c>
    </row>
    <row r="15">
      <c r="A15">
        <f>IF(Base_Notas!A15&lt;&gt;"", Base_Notas!A15, "")</f>
        <v/>
      </c>
      <c r="B15">
        <f>IF(Base_Notas!B15&lt;&gt;"", Base_Notas!B15, "")</f>
        <v/>
      </c>
      <c r="C15" s="104" t="n">
        <v>0</v>
      </c>
      <c r="D15" s="104" t="n">
        <v>0</v>
      </c>
      <c r="E15" s="104" t="n">
        <v>0</v>
      </c>
      <c r="F15" s="104" t="n">
        <v>0</v>
      </c>
      <c r="G15" s="104" t="n">
        <v>0</v>
      </c>
      <c r="H15" s="104" t="n">
        <v>0</v>
      </c>
      <c r="I15" s="104" t="n">
        <v>0</v>
      </c>
      <c r="J15" s="104" t="n">
        <v>0</v>
      </c>
      <c r="K15" s="104" t="n">
        <v>0</v>
      </c>
      <c r="L15" s="104" t="n">
        <v>0</v>
      </c>
      <c r="M15" s="104" t="n">
        <v>0</v>
      </c>
      <c r="N15" s="104" t="n">
        <v>0</v>
      </c>
      <c r="O15" s="104" t="n">
        <v>0</v>
      </c>
      <c r="P15" s="104" t="n">
        <v>0</v>
      </c>
      <c r="Q15" s="104" t="n">
        <v>0</v>
      </c>
      <c r="R15" s="104" t="n">
        <v>0</v>
      </c>
      <c r="S15" s="104" t="n">
        <v>0</v>
      </c>
      <c r="T15" s="104" t="n">
        <v>0</v>
      </c>
      <c r="U15" s="104" t="n">
        <v>0</v>
      </c>
      <c r="V15" s="104" t="n">
        <v>0</v>
      </c>
      <c r="W15" s="104" t="n">
        <v>0</v>
      </c>
      <c r="X15" s="104" t="n">
        <v>0</v>
      </c>
      <c r="Y15" s="104" t="n">
        <v>0</v>
      </c>
      <c r="Z15" s="104" t="n">
        <v>0</v>
      </c>
      <c r="AA15" s="104" t="n">
        <v>0</v>
      </c>
      <c r="AB15" s="104" t="n">
        <v>0</v>
      </c>
      <c r="AC15" s="104" t="n">
        <v>0</v>
      </c>
      <c r="AD15" s="104" t="n">
        <v>0</v>
      </c>
      <c r="AE15" s="104" t="n">
        <v>0</v>
      </c>
      <c r="AF15" s="104" t="n">
        <v>0</v>
      </c>
      <c r="AG15" s="104" t="n">
        <v>0</v>
      </c>
      <c r="AH15" s="104" t="n">
        <v>0</v>
      </c>
      <c r="AI15">
        <f>IF(B15&lt;&gt;"", SUMIF(C15:AH15, 1), "")</f>
        <v/>
      </c>
      <c r="AJ15">
        <f>IF(B15&lt;&gt;"", AI15/32, "")</f>
        <v/>
      </c>
      <c r="AK15">
        <f>IF(B15="", "", IF(AJ15&gt;0.2, "Pérdida por Faltas", "Regular"))</f>
        <v/>
      </c>
    </row>
    <row r="16">
      <c r="A16">
        <f>IF(Base_Notas!A16&lt;&gt;"", Base_Notas!A16, "")</f>
        <v/>
      </c>
      <c r="B16">
        <f>IF(Base_Notas!B16&lt;&gt;"", Base_Notas!B16, "")</f>
        <v/>
      </c>
      <c r="C16" s="104" t="n">
        <v>0</v>
      </c>
      <c r="D16" s="104" t="n">
        <v>0</v>
      </c>
      <c r="E16" s="104" t="n">
        <v>0</v>
      </c>
      <c r="F16" s="104" t="n">
        <v>0</v>
      </c>
      <c r="G16" s="104" t="n">
        <v>0</v>
      </c>
      <c r="H16" s="104" t="n">
        <v>0</v>
      </c>
      <c r="I16" s="104" t="n">
        <v>0</v>
      </c>
      <c r="J16" s="104" t="n">
        <v>0</v>
      </c>
      <c r="K16" s="104" t="n">
        <v>0</v>
      </c>
      <c r="L16" s="104" t="n">
        <v>0</v>
      </c>
      <c r="M16" s="104" t="n">
        <v>0</v>
      </c>
      <c r="N16" s="104" t="n">
        <v>0</v>
      </c>
      <c r="O16" s="104" t="n">
        <v>0</v>
      </c>
      <c r="P16" s="104" t="n">
        <v>0</v>
      </c>
      <c r="Q16" s="104" t="n">
        <v>0</v>
      </c>
      <c r="R16" s="104" t="n">
        <v>0</v>
      </c>
      <c r="S16" s="104" t="n">
        <v>0</v>
      </c>
      <c r="T16" s="104" t="n">
        <v>0</v>
      </c>
      <c r="U16" s="104" t="n">
        <v>0</v>
      </c>
      <c r="V16" s="104" t="n">
        <v>0</v>
      </c>
      <c r="W16" s="104" t="n">
        <v>0</v>
      </c>
      <c r="X16" s="104" t="n">
        <v>0</v>
      </c>
      <c r="Y16" s="104" t="n">
        <v>0</v>
      </c>
      <c r="Z16" s="104" t="n">
        <v>0</v>
      </c>
      <c r="AA16" s="104" t="n">
        <v>0</v>
      </c>
      <c r="AB16" s="104" t="n">
        <v>0</v>
      </c>
      <c r="AC16" s="104" t="n">
        <v>0</v>
      </c>
      <c r="AD16" s="104" t="n">
        <v>0</v>
      </c>
      <c r="AE16" s="104" t="n">
        <v>0</v>
      </c>
      <c r="AF16" s="104" t="n">
        <v>0</v>
      </c>
      <c r="AG16" s="104" t="n">
        <v>0</v>
      </c>
      <c r="AH16" s="104" t="n">
        <v>0</v>
      </c>
      <c r="AI16">
        <f>IF(B16&lt;&gt;"", SUMIF(C16:AH16, 1), "")</f>
        <v/>
      </c>
      <c r="AJ16">
        <f>IF(B16&lt;&gt;"", AI16/32, "")</f>
        <v/>
      </c>
      <c r="AK16">
        <f>IF(B16="", "", IF(AJ16&gt;0.2, "Pérdida por Faltas", "Regular"))</f>
        <v/>
      </c>
    </row>
    <row r="17">
      <c r="A17">
        <f>IF(Base_Notas!A17&lt;&gt;"", Base_Notas!A17, "")</f>
        <v/>
      </c>
      <c r="B17">
        <f>IF(Base_Notas!B17&lt;&gt;"", Base_Notas!B17, "")</f>
        <v/>
      </c>
      <c r="C17" s="104" t="n">
        <v>0</v>
      </c>
      <c r="D17" s="104" t="n">
        <v>0</v>
      </c>
      <c r="E17" s="104" t="n">
        <v>0</v>
      </c>
      <c r="F17" s="104" t="n">
        <v>0</v>
      </c>
      <c r="G17" s="104" t="n">
        <v>0</v>
      </c>
      <c r="H17" s="104" t="n">
        <v>0</v>
      </c>
      <c r="I17" s="104" t="n">
        <v>0</v>
      </c>
      <c r="J17" s="104" t="n">
        <v>0</v>
      </c>
      <c r="K17" s="104" t="n">
        <v>0</v>
      </c>
      <c r="L17" s="104" t="n">
        <v>0</v>
      </c>
      <c r="M17" s="104" t="n">
        <v>0</v>
      </c>
      <c r="N17" s="104" t="n">
        <v>0</v>
      </c>
      <c r="O17" s="104" t="n">
        <v>0</v>
      </c>
      <c r="P17" s="104" t="n">
        <v>0</v>
      </c>
      <c r="Q17" s="104" t="n">
        <v>0</v>
      </c>
      <c r="R17" s="104" t="n">
        <v>0</v>
      </c>
      <c r="S17" s="104" t="n">
        <v>0</v>
      </c>
      <c r="T17" s="104" t="n">
        <v>0</v>
      </c>
      <c r="U17" s="104" t="n">
        <v>0</v>
      </c>
      <c r="V17" s="104" t="n">
        <v>0</v>
      </c>
      <c r="W17" s="104" t="n">
        <v>0</v>
      </c>
      <c r="X17" s="104" t="n">
        <v>0</v>
      </c>
      <c r="Y17" s="104" t="n">
        <v>0</v>
      </c>
      <c r="Z17" s="104" t="n">
        <v>0</v>
      </c>
      <c r="AA17" s="104" t="n">
        <v>0</v>
      </c>
      <c r="AB17" s="104" t="n">
        <v>0</v>
      </c>
      <c r="AC17" s="104" t="n">
        <v>0</v>
      </c>
      <c r="AD17" s="104" t="n">
        <v>0</v>
      </c>
      <c r="AE17" s="104" t="n">
        <v>0</v>
      </c>
      <c r="AF17" s="104" t="n">
        <v>0</v>
      </c>
      <c r="AG17" s="104" t="n">
        <v>0</v>
      </c>
      <c r="AH17" s="104" t="n">
        <v>0</v>
      </c>
      <c r="AI17">
        <f>IF(B17&lt;&gt;"", SUMIF(C17:AH17, 1), "")</f>
        <v/>
      </c>
      <c r="AJ17">
        <f>IF(B17&lt;&gt;"", AI17/32, "")</f>
        <v/>
      </c>
      <c r="AK17">
        <f>IF(B17="", "", IF(AJ17&gt;0.2, "Pérdida por Faltas", "Regular"))</f>
        <v/>
      </c>
    </row>
    <row r="18">
      <c r="A18">
        <f>IF(Base_Notas!A18&lt;&gt;"", Base_Notas!A18, "")</f>
        <v/>
      </c>
      <c r="B18">
        <f>IF(Base_Notas!B18&lt;&gt;"", Base_Notas!B18, "")</f>
        <v/>
      </c>
      <c r="C18" s="104" t="n">
        <v>0</v>
      </c>
      <c r="D18" s="104" t="n">
        <v>0</v>
      </c>
      <c r="E18" s="104" t="n">
        <v>0</v>
      </c>
      <c r="F18" s="104" t="n">
        <v>0</v>
      </c>
      <c r="G18" s="104" t="n">
        <v>0</v>
      </c>
      <c r="H18" s="104" t="n">
        <v>0</v>
      </c>
      <c r="I18" s="104" t="n">
        <v>0</v>
      </c>
      <c r="J18" s="104" t="n">
        <v>0</v>
      </c>
      <c r="K18" s="104" t="n">
        <v>0</v>
      </c>
      <c r="L18" s="104" t="n">
        <v>0</v>
      </c>
      <c r="M18" s="104" t="n">
        <v>0</v>
      </c>
      <c r="N18" s="104" t="n">
        <v>0</v>
      </c>
      <c r="O18" s="104" t="n">
        <v>0</v>
      </c>
      <c r="P18" s="104" t="n">
        <v>0</v>
      </c>
      <c r="Q18" s="104" t="n">
        <v>0</v>
      </c>
      <c r="R18" s="104" t="n">
        <v>0</v>
      </c>
      <c r="S18" s="104" t="n">
        <v>0</v>
      </c>
      <c r="T18" s="104" t="n">
        <v>0</v>
      </c>
      <c r="U18" s="104" t="n">
        <v>0</v>
      </c>
      <c r="V18" s="104" t="n">
        <v>0</v>
      </c>
      <c r="W18" s="104" t="n">
        <v>0</v>
      </c>
      <c r="X18" s="104" t="n">
        <v>0</v>
      </c>
      <c r="Y18" s="104" t="n">
        <v>0</v>
      </c>
      <c r="Z18" s="104" t="n">
        <v>0</v>
      </c>
      <c r="AA18" s="104" t="n">
        <v>0</v>
      </c>
      <c r="AB18" s="104" t="n">
        <v>0</v>
      </c>
      <c r="AC18" s="104" t="n">
        <v>0</v>
      </c>
      <c r="AD18" s="104" t="n">
        <v>0</v>
      </c>
      <c r="AE18" s="104" t="n">
        <v>0</v>
      </c>
      <c r="AF18" s="104" t="n">
        <v>0</v>
      </c>
      <c r="AG18" s="104" t="n">
        <v>0</v>
      </c>
      <c r="AH18" s="104" t="n">
        <v>0</v>
      </c>
      <c r="AI18">
        <f>IF(B18&lt;&gt;"", SUMIF(C18:AH18, 1), "")</f>
        <v/>
      </c>
      <c r="AJ18">
        <f>IF(B18&lt;&gt;"", AI18/32, "")</f>
        <v/>
      </c>
      <c r="AK18">
        <f>IF(B18="", "", IF(AJ18&gt;0.2, "Pérdida por Faltas", "Regular"))</f>
        <v/>
      </c>
    </row>
    <row r="19">
      <c r="A19">
        <f>IF(Base_Notas!A19&lt;&gt;"", Base_Notas!A19, "")</f>
        <v/>
      </c>
      <c r="B19">
        <f>IF(Base_Notas!B19&lt;&gt;"", Base_Notas!B19, "")</f>
        <v/>
      </c>
      <c r="C19" s="104" t="n">
        <v>0</v>
      </c>
      <c r="D19" s="104" t="n">
        <v>0</v>
      </c>
      <c r="E19" s="104" t="n">
        <v>0</v>
      </c>
      <c r="F19" s="104" t="n">
        <v>0</v>
      </c>
      <c r="G19" s="104" t="n">
        <v>0</v>
      </c>
      <c r="H19" s="104" t="n">
        <v>0</v>
      </c>
      <c r="I19" s="104" t="n">
        <v>0</v>
      </c>
      <c r="J19" s="104" t="n">
        <v>0</v>
      </c>
      <c r="K19" s="104" t="n">
        <v>0</v>
      </c>
      <c r="L19" s="104" t="n">
        <v>0</v>
      </c>
      <c r="M19" s="104" t="n">
        <v>0</v>
      </c>
      <c r="N19" s="104" t="n">
        <v>0</v>
      </c>
      <c r="O19" s="104" t="n">
        <v>0</v>
      </c>
      <c r="P19" s="104" t="n">
        <v>0</v>
      </c>
      <c r="Q19" s="104" t="n">
        <v>0</v>
      </c>
      <c r="R19" s="104" t="n">
        <v>0</v>
      </c>
      <c r="S19" s="104" t="n">
        <v>0</v>
      </c>
      <c r="T19" s="104" t="n">
        <v>0</v>
      </c>
      <c r="U19" s="104" t="n">
        <v>0</v>
      </c>
      <c r="V19" s="104" t="n">
        <v>0</v>
      </c>
      <c r="W19" s="104" t="n">
        <v>0</v>
      </c>
      <c r="X19" s="104" t="n">
        <v>0</v>
      </c>
      <c r="Y19" s="104" t="n">
        <v>0</v>
      </c>
      <c r="Z19" s="104" t="n">
        <v>0</v>
      </c>
      <c r="AA19" s="104" t="n">
        <v>0</v>
      </c>
      <c r="AB19" s="104" t="n">
        <v>0</v>
      </c>
      <c r="AC19" s="104" t="n">
        <v>0</v>
      </c>
      <c r="AD19" s="104" t="n">
        <v>0</v>
      </c>
      <c r="AE19" s="104" t="n">
        <v>0</v>
      </c>
      <c r="AF19" s="104" t="n">
        <v>0</v>
      </c>
      <c r="AG19" s="104" t="n">
        <v>0</v>
      </c>
      <c r="AH19" s="104" t="n">
        <v>0</v>
      </c>
      <c r="AI19">
        <f>IF(B19&lt;&gt;"", SUMIF(C19:AH19, 1), "")</f>
        <v/>
      </c>
      <c r="AJ19">
        <f>IF(B19&lt;&gt;"", AI19/32, "")</f>
        <v/>
      </c>
      <c r="AK19">
        <f>IF(B19="", "", IF(AJ19&gt;0.2, "Pérdida por Faltas", "Regular"))</f>
        <v/>
      </c>
    </row>
    <row r="20">
      <c r="A20">
        <f>IF(Base_Notas!A20&lt;&gt;"", Base_Notas!A20, "")</f>
        <v/>
      </c>
      <c r="B20">
        <f>IF(Base_Notas!B20&lt;&gt;"", Base_Notas!B20, "")</f>
        <v/>
      </c>
      <c r="C20" s="104" t="n">
        <v>0</v>
      </c>
      <c r="D20" s="104" t="n">
        <v>0</v>
      </c>
      <c r="E20" s="104" t="n">
        <v>0</v>
      </c>
      <c r="F20" s="104" t="n">
        <v>0</v>
      </c>
      <c r="G20" s="104" t="n">
        <v>0</v>
      </c>
      <c r="H20" s="104" t="n">
        <v>0</v>
      </c>
      <c r="I20" s="104" t="n">
        <v>0</v>
      </c>
      <c r="J20" s="104" t="n">
        <v>0</v>
      </c>
      <c r="K20" s="104" t="n">
        <v>0</v>
      </c>
      <c r="L20" s="104" t="n">
        <v>0</v>
      </c>
      <c r="M20" s="104" t="n">
        <v>0</v>
      </c>
      <c r="N20" s="104" t="n">
        <v>0</v>
      </c>
      <c r="O20" s="104" t="n">
        <v>0</v>
      </c>
      <c r="P20" s="104" t="n">
        <v>0</v>
      </c>
      <c r="Q20" s="104" t="n">
        <v>0</v>
      </c>
      <c r="R20" s="104" t="n">
        <v>0</v>
      </c>
      <c r="S20" s="104" t="n">
        <v>0</v>
      </c>
      <c r="T20" s="104" t="n">
        <v>0</v>
      </c>
      <c r="U20" s="104" t="n">
        <v>0</v>
      </c>
      <c r="V20" s="104" t="n">
        <v>0</v>
      </c>
      <c r="W20" s="104" t="n">
        <v>0</v>
      </c>
      <c r="X20" s="104" t="n">
        <v>0</v>
      </c>
      <c r="Y20" s="104" t="n">
        <v>0</v>
      </c>
      <c r="Z20" s="104" t="n">
        <v>0</v>
      </c>
      <c r="AA20" s="104" t="n">
        <v>0</v>
      </c>
      <c r="AB20" s="104" t="n">
        <v>0</v>
      </c>
      <c r="AC20" s="104" t="n">
        <v>0</v>
      </c>
      <c r="AD20" s="104" t="n">
        <v>0</v>
      </c>
      <c r="AE20" s="104" t="n">
        <v>0</v>
      </c>
      <c r="AF20" s="104" t="n">
        <v>0</v>
      </c>
      <c r="AG20" s="104" t="n">
        <v>0</v>
      </c>
      <c r="AH20" s="104" t="n">
        <v>0</v>
      </c>
      <c r="AI20">
        <f>IF(B20&lt;&gt;"", SUMIF(C20:AH20, 1), "")</f>
        <v/>
      </c>
      <c r="AJ20">
        <f>IF(B20&lt;&gt;"", AI20/32, "")</f>
        <v/>
      </c>
      <c r="AK20">
        <f>IF(B20="", "", IF(AJ20&gt;0.2, "Pérdida por Faltas", "Regular"))</f>
        <v/>
      </c>
    </row>
    <row r="21">
      <c r="A21">
        <f>IF(Base_Notas!A21&lt;&gt;"", Base_Notas!A21, "")</f>
        <v/>
      </c>
      <c r="B21">
        <f>IF(Base_Notas!B21&lt;&gt;"", Base_Notas!B21, "")</f>
        <v/>
      </c>
      <c r="C21" s="104" t="n">
        <v>0</v>
      </c>
      <c r="D21" s="104" t="n">
        <v>0</v>
      </c>
      <c r="E21" s="104" t="n">
        <v>0</v>
      </c>
      <c r="F21" s="104" t="n">
        <v>0</v>
      </c>
      <c r="G21" s="104" t="n">
        <v>0</v>
      </c>
      <c r="H21" s="104" t="n">
        <v>0</v>
      </c>
      <c r="I21" s="104" t="n">
        <v>0</v>
      </c>
      <c r="J21" s="104" t="n">
        <v>0</v>
      </c>
      <c r="K21" s="104" t="n">
        <v>0</v>
      </c>
      <c r="L21" s="104" t="n">
        <v>0</v>
      </c>
      <c r="M21" s="104" t="n">
        <v>0</v>
      </c>
      <c r="N21" s="104" t="n">
        <v>0</v>
      </c>
      <c r="O21" s="104" t="n">
        <v>0</v>
      </c>
      <c r="P21" s="104" t="n">
        <v>0</v>
      </c>
      <c r="Q21" s="104" t="n">
        <v>0</v>
      </c>
      <c r="R21" s="104" t="n">
        <v>0</v>
      </c>
      <c r="S21" s="104" t="n">
        <v>0</v>
      </c>
      <c r="T21" s="104" t="n">
        <v>0</v>
      </c>
      <c r="U21" s="104" t="n">
        <v>0</v>
      </c>
      <c r="V21" s="104" t="n">
        <v>0</v>
      </c>
      <c r="W21" s="104" t="n">
        <v>0</v>
      </c>
      <c r="X21" s="104" t="n">
        <v>0</v>
      </c>
      <c r="Y21" s="104" t="n">
        <v>0</v>
      </c>
      <c r="Z21" s="104" t="n">
        <v>0</v>
      </c>
      <c r="AA21" s="104" t="n">
        <v>0</v>
      </c>
      <c r="AB21" s="104" t="n">
        <v>0</v>
      </c>
      <c r="AC21" s="104" t="n">
        <v>0</v>
      </c>
      <c r="AD21" s="104" t="n">
        <v>0</v>
      </c>
      <c r="AE21" s="104" t="n">
        <v>0</v>
      </c>
      <c r="AF21" s="104" t="n">
        <v>0</v>
      </c>
      <c r="AG21" s="104" t="n">
        <v>0</v>
      </c>
      <c r="AH21" s="104" t="n">
        <v>0</v>
      </c>
      <c r="AI21">
        <f>IF(B21&lt;&gt;"", SUMIF(C21:AH21, 1), "")</f>
        <v/>
      </c>
      <c r="AJ21">
        <f>IF(B21&lt;&gt;"", AI21/32, "")</f>
        <v/>
      </c>
      <c r="AK21">
        <f>IF(B21="", "", IF(AJ21&gt;0.2, "Pérdida por Faltas", "Regular"))</f>
        <v/>
      </c>
    </row>
    <row r="22">
      <c r="A22">
        <f>IF(Base_Notas!A22&lt;&gt;"", Base_Notas!A22, "")</f>
        <v/>
      </c>
      <c r="B22">
        <f>IF(Base_Notas!B22&lt;&gt;"", Base_Notas!B22, "")</f>
        <v/>
      </c>
      <c r="C22" s="104" t="n">
        <v>0</v>
      </c>
      <c r="D22" s="104" t="n">
        <v>0</v>
      </c>
      <c r="E22" s="104" t="n">
        <v>0</v>
      </c>
      <c r="F22" s="104" t="n">
        <v>0</v>
      </c>
      <c r="G22" s="104" t="n">
        <v>0</v>
      </c>
      <c r="H22" s="104" t="n">
        <v>0</v>
      </c>
      <c r="I22" s="104" t="n">
        <v>0</v>
      </c>
      <c r="J22" s="104" t="n">
        <v>0</v>
      </c>
      <c r="K22" s="104" t="n">
        <v>0</v>
      </c>
      <c r="L22" s="104" t="n">
        <v>0</v>
      </c>
      <c r="M22" s="104" t="n">
        <v>0</v>
      </c>
      <c r="N22" s="104" t="n">
        <v>0</v>
      </c>
      <c r="O22" s="104" t="n">
        <v>0</v>
      </c>
      <c r="P22" s="104" t="n">
        <v>0</v>
      </c>
      <c r="Q22" s="104" t="n">
        <v>0</v>
      </c>
      <c r="R22" s="104" t="n">
        <v>0</v>
      </c>
      <c r="S22" s="104" t="n">
        <v>0</v>
      </c>
      <c r="T22" s="104" t="n">
        <v>0</v>
      </c>
      <c r="U22" s="104" t="n">
        <v>0</v>
      </c>
      <c r="V22" s="104" t="n">
        <v>0</v>
      </c>
      <c r="W22" s="104" t="n">
        <v>0</v>
      </c>
      <c r="X22" s="104" t="n">
        <v>0</v>
      </c>
      <c r="Y22" s="104" t="n">
        <v>0</v>
      </c>
      <c r="Z22" s="104" t="n">
        <v>0</v>
      </c>
      <c r="AA22" s="104" t="n">
        <v>0</v>
      </c>
      <c r="AB22" s="104" t="n">
        <v>0</v>
      </c>
      <c r="AC22" s="104" t="n">
        <v>0</v>
      </c>
      <c r="AD22" s="104" t="n">
        <v>0</v>
      </c>
      <c r="AE22" s="104" t="n">
        <v>0</v>
      </c>
      <c r="AF22" s="104" t="n">
        <v>0</v>
      </c>
      <c r="AG22" s="104" t="n">
        <v>0</v>
      </c>
      <c r="AH22" s="104" t="n">
        <v>0</v>
      </c>
      <c r="AI22">
        <f>IF(B22&lt;&gt;"", SUMIF(C22:AH22, 1), "")</f>
        <v/>
      </c>
      <c r="AJ22">
        <f>IF(B22&lt;&gt;"", AI22/32, "")</f>
        <v/>
      </c>
      <c r="AK22">
        <f>IF(B22="", "", IF(AJ22&gt;0.2, "Pérdida por Faltas", "Regular"))</f>
        <v/>
      </c>
    </row>
    <row r="23">
      <c r="A23">
        <f>IF(Base_Notas!A23&lt;&gt;"", Base_Notas!A23, "")</f>
        <v/>
      </c>
      <c r="B23">
        <f>IF(Base_Notas!B23&lt;&gt;"", Base_Notas!B23, "")</f>
        <v/>
      </c>
      <c r="C23" s="104" t="n">
        <v>0</v>
      </c>
      <c r="D23" s="104" t="n">
        <v>0</v>
      </c>
      <c r="E23" s="104" t="n">
        <v>0</v>
      </c>
      <c r="F23" s="104" t="n">
        <v>0</v>
      </c>
      <c r="G23" s="104" t="n">
        <v>0</v>
      </c>
      <c r="H23" s="104" t="n">
        <v>0</v>
      </c>
      <c r="I23" s="104" t="n">
        <v>0</v>
      </c>
      <c r="J23" s="104" t="n">
        <v>0</v>
      </c>
      <c r="K23" s="104" t="n">
        <v>0</v>
      </c>
      <c r="L23" s="104" t="n">
        <v>0</v>
      </c>
      <c r="M23" s="104" t="n">
        <v>0</v>
      </c>
      <c r="N23" s="104" t="n">
        <v>0</v>
      </c>
      <c r="O23" s="104" t="n">
        <v>0</v>
      </c>
      <c r="P23" s="104" t="n">
        <v>0</v>
      </c>
      <c r="Q23" s="104" t="n">
        <v>0</v>
      </c>
      <c r="R23" s="104" t="n">
        <v>0</v>
      </c>
      <c r="S23" s="104" t="n">
        <v>0</v>
      </c>
      <c r="T23" s="104" t="n">
        <v>0</v>
      </c>
      <c r="U23" s="104" t="n">
        <v>0</v>
      </c>
      <c r="V23" s="104" t="n">
        <v>0</v>
      </c>
      <c r="W23" s="104" t="n">
        <v>0</v>
      </c>
      <c r="X23" s="104" t="n">
        <v>0</v>
      </c>
      <c r="Y23" s="104" t="n">
        <v>0</v>
      </c>
      <c r="Z23" s="104" t="n">
        <v>0</v>
      </c>
      <c r="AA23" s="104" t="n">
        <v>0</v>
      </c>
      <c r="AB23" s="104" t="n">
        <v>0</v>
      </c>
      <c r="AC23" s="104" t="n">
        <v>0</v>
      </c>
      <c r="AD23" s="104" t="n">
        <v>0</v>
      </c>
      <c r="AE23" s="104" t="n">
        <v>0</v>
      </c>
      <c r="AF23" s="104" t="n">
        <v>0</v>
      </c>
      <c r="AG23" s="104" t="n">
        <v>0</v>
      </c>
      <c r="AH23" s="104" t="n">
        <v>0</v>
      </c>
      <c r="AI23">
        <f>IF(B23&lt;&gt;"", SUMIF(C23:AH23, 1), "")</f>
        <v/>
      </c>
      <c r="AJ23">
        <f>IF(B23&lt;&gt;"", AI23/32, "")</f>
        <v/>
      </c>
      <c r="AK23">
        <f>IF(B23="", "", IF(AJ23&gt;0.2, "Pérdida por Faltas", "Regular"))</f>
        <v/>
      </c>
    </row>
    <row r="24">
      <c r="A24">
        <f>IF(Base_Notas!A24&lt;&gt;"", Base_Notas!A24, "")</f>
        <v/>
      </c>
      <c r="B24">
        <f>IF(Base_Notas!B24&lt;&gt;"", Base_Notas!B24, "")</f>
        <v/>
      </c>
      <c r="C24" s="104" t="n">
        <v>0</v>
      </c>
      <c r="D24" s="104" t="n">
        <v>0</v>
      </c>
      <c r="E24" s="104" t="n">
        <v>0</v>
      </c>
      <c r="F24" s="104" t="n">
        <v>0</v>
      </c>
      <c r="G24" s="104" t="n">
        <v>0</v>
      </c>
      <c r="H24" s="104" t="n">
        <v>0</v>
      </c>
      <c r="I24" s="104" t="n">
        <v>0</v>
      </c>
      <c r="J24" s="104" t="n">
        <v>0</v>
      </c>
      <c r="K24" s="104" t="n">
        <v>0</v>
      </c>
      <c r="L24" s="104" t="n">
        <v>0</v>
      </c>
      <c r="M24" s="104" t="n">
        <v>0</v>
      </c>
      <c r="N24" s="104" t="n">
        <v>0</v>
      </c>
      <c r="O24" s="104" t="n">
        <v>0</v>
      </c>
      <c r="P24" s="104" t="n">
        <v>0</v>
      </c>
      <c r="Q24" s="104" t="n">
        <v>0</v>
      </c>
      <c r="R24" s="104" t="n">
        <v>0</v>
      </c>
      <c r="S24" s="104" t="n">
        <v>0</v>
      </c>
      <c r="T24" s="104" t="n">
        <v>0</v>
      </c>
      <c r="U24" s="104" t="n">
        <v>0</v>
      </c>
      <c r="V24" s="104" t="n">
        <v>0</v>
      </c>
      <c r="W24" s="104" t="n">
        <v>0</v>
      </c>
      <c r="X24" s="104" t="n">
        <v>0</v>
      </c>
      <c r="Y24" s="104" t="n">
        <v>0</v>
      </c>
      <c r="Z24" s="104" t="n">
        <v>0</v>
      </c>
      <c r="AA24" s="104" t="n">
        <v>0</v>
      </c>
      <c r="AB24" s="104" t="n">
        <v>0</v>
      </c>
      <c r="AC24" s="104" t="n">
        <v>0</v>
      </c>
      <c r="AD24" s="104" t="n">
        <v>0</v>
      </c>
      <c r="AE24" s="104" t="n">
        <v>0</v>
      </c>
      <c r="AF24" s="104" t="n">
        <v>0</v>
      </c>
      <c r="AG24" s="104" t="n">
        <v>0</v>
      </c>
      <c r="AH24" s="104" t="n">
        <v>0</v>
      </c>
      <c r="AI24">
        <f>IF(B24&lt;&gt;"", SUMIF(C24:AH24, 1), "")</f>
        <v/>
      </c>
      <c r="AJ24">
        <f>IF(B24&lt;&gt;"", AI24/32, "")</f>
        <v/>
      </c>
      <c r="AK24">
        <f>IF(B24="", "", IF(AJ24&gt;0.2, "Pérdida por Faltas", "Regular"))</f>
        <v/>
      </c>
    </row>
    <row r="25">
      <c r="A25">
        <f>IF(Base_Notas!A25&lt;&gt;"", Base_Notas!A25, "")</f>
        <v/>
      </c>
      <c r="B25">
        <f>IF(Base_Notas!B25&lt;&gt;"", Base_Notas!B25, "")</f>
        <v/>
      </c>
      <c r="C25" s="104" t="n">
        <v>0</v>
      </c>
      <c r="D25" s="104" t="n">
        <v>0</v>
      </c>
      <c r="E25" s="104" t="n">
        <v>0</v>
      </c>
      <c r="F25" s="104" t="n">
        <v>0</v>
      </c>
      <c r="G25" s="104" t="n">
        <v>0</v>
      </c>
      <c r="H25" s="104" t="n">
        <v>0</v>
      </c>
      <c r="I25" s="104" t="n">
        <v>0</v>
      </c>
      <c r="J25" s="104" t="n">
        <v>0</v>
      </c>
      <c r="K25" s="104" t="n">
        <v>0</v>
      </c>
      <c r="L25" s="104" t="n">
        <v>0</v>
      </c>
      <c r="M25" s="104" t="n">
        <v>0</v>
      </c>
      <c r="N25" s="104" t="n">
        <v>0</v>
      </c>
      <c r="O25" s="104" t="n">
        <v>0</v>
      </c>
      <c r="P25" s="104" t="n">
        <v>0</v>
      </c>
      <c r="Q25" s="104" t="n">
        <v>0</v>
      </c>
      <c r="R25" s="104" t="n">
        <v>0</v>
      </c>
      <c r="S25" s="104" t="n">
        <v>0</v>
      </c>
      <c r="T25" s="104" t="n">
        <v>0</v>
      </c>
      <c r="U25" s="104" t="n">
        <v>0</v>
      </c>
      <c r="V25" s="104" t="n">
        <v>0</v>
      </c>
      <c r="W25" s="104" t="n">
        <v>0</v>
      </c>
      <c r="X25" s="104" t="n">
        <v>0</v>
      </c>
      <c r="Y25" s="104" t="n">
        <v>0</v>
      </c>
      <c r="Z25" s="104" t="n">
        <v>0</v>
      </c>
      <c r="AA25" s="104" t="n">
        <v>0</v>
      </c>
      <c r="AB25" s="104" t="n">
        <v>0</v>
      </c>
      <c r="AC25" s="104" t="n">
        <v>0</v>
      </c>
      <c r="AD25" s="104" t="n">
        <v>0</v>
      </c>
      <c r="AE25" s="104" t="n">
        <v>0</v>
      </c>
      <c r="AF25" s="104" t="n">
        <v>0</v>
      </c>
      <c r="AG25" s="104" t="n">
        <v>0</v>
      </c>
      <c r="AH25" s="104" t="n">
        <v>0</v>
      </c>
      <c r="AI25">
        <f>IF(B25&lt;&gt;"", SUMIF(C25:AH25, 1), "")</f>
        <v/>
      </c>
      <c r="AJ25">
        <f>IF(B25&lt;&gt;"", AI25/32, "")</f>
        <v/>
      </c>
      <c r="AK25">
        <f>IF(B25="", "", IF(AJ25&gt;0.2, "Pérdida por Faltas", "Regular"))</f>
        <v/>
      </c>
    </row>
    <row r="26">
      <c r="A26">
        <f>IF(Base_Notas!A26&lt;&gt;"", Base_Notas!A26, "")</f>
        <v/>
      </c>
      <c r="B26">
        <f>IF(Base_Notas!B26&lt;&gt;"", Base_Notas!B26, "")</f>
        <v/>
      </c>
      <c r="C26" s="104" t="n">
        <v>0</v>
      </c>
      <c r="D26" s="104" t="n">
        <v>0</v>
      </c>
      <c r="E26" s="104" t="n">
        <v>0</v>
      </c>
      <c r="F26" s="104" t="n">
        <v>0</v>
      </c>
      <c r="G26" s="104" t="n">
        <v>0</v>
      </c>
      <c r="H26" s="104" t="n">
        <v>0</v>
      </c>
      <c r="I26" s="104" t="n">
        <v>0</v>
      </c>
      <c r="J26" s="104" t="n">
        <v>0</v>
      </c>
      <c r="K26" s="104" t="n">
        <v>0</v>
      </c>
      <c r="L26" s="104" t="n">
        <v>0</v>
      </c>
      <c r="M26" s="104" t="n">
        <v>0</v>
      </c>
      <c r="N26" s="104" t="n">
        <v>0</v>
      </c>
      <c r="O26" s="104" t="n">
        <v>0</v>
      </c>
      <c r="P26" s="104" t="n">
        <v>0</v>
      </c>
      <c r="Q26" s="104" t="n">
        <v>0</v>
      </c>
      <c r="R26" s="104" t="n">
        <v>0</v>
      </c>
      <c r="S26" s="104" t="n">
        <v>0</v>
      </c>
      <c r="T26" s="104" t="n">
        <v>0</v>
      </c>
      <c r="U26" s="104" t="n">
        <v>0</v>
      </c>
      <c r="V26" s="104" t="n">
        <v>0</v>
      </c>
      <c r="W26" s="104" t="n">
        <v>0</v>
      </c>
      <c r="X26" s="104" t="n">
        <v>0</v>
      </c>
      <c r="Y26" s="104" t="n">
        <v>0</v>
      </c>
      <c r="Z26" s="104" t="n">
        <v>0</v>
      </c>
      <c r="AA26" s="104" t="n">
        <v>0</v>
      </c>
      <c r="AB26" s="104" t="n">
        <v>0</v>
      </c>
      <c r="AC26" s="104" t="n">
        <v>0</v>
      </c>
      <c r="AD26" s="104" t="n">
        <v>0</v>
      </c>
      <c r="AE26" s="104" t="n">
        <v>0</v>
      </c>
      <c r="AF26" s="104" t="n">
        <v>0</v>
      </c>
      <c r="AG26" s="104" t="n">
        <v>0</v>
      </c>
      <c r="AH26" s="104" t="n">
        <v>0</v>
      </c>
      <c r="AI26">
        <f>IF(B26&lt;&gt;"", SUMIF(C26:AH26, 1), "")</f>
        <v/>
      </c>
      <c r="AJ26">
        <f>IF(B26&lt;&gt;"", AI26/32, "")</f>
        <v/>
      </c>
      <c r="AK26">
        <f>IF(B26="", "", IF(AJ26&gt;0.2, "Pérdida por Faltas", "Regular"))</f>
        <v/>
      </c>
    </row>
    <row r="27">
      <c r="A27">
        <f>IF(Base_Notas!A27&lt;&gt;"", Base_Notas!A27, "")</f>
        <v/>
      </c>
      <c r="B27">
        <f>IF(Base_Notas!B27&lt;&gt;"", Base_Notas!B27, "")</f>
        <v/>
      </c>
      <c r="C27" s="104" t="n">
        <v>0</v>
      </c>
      <c r="D27" s="104" t="n">
        <v>0</v>
      </c>
      <c r="E27" s="104" t="n">
        <v>0</v>
      </c>
      <c r="F27" s="104" t="n">
        <v>0</v>
      </c>
      <c r="G27" s="104" t="n">
        <v>0</v>
      </c>
      <c r="H27" s="104" t="n">
        <v>0</v>
      </c>
      <c r="I27" s="104" t="n">
        <v>0</v>
      </c>
      <c r="J27" s="104" t="n">
        <v>0</v>
      </c>
      <c r="K27" s="104" t="n">
        <v>0</v>
      </c>
      <c r="L27" s="104" t="n">
        <v>0</v>
      </c>
      <c r="M27" s="104" t="n">
        <v>0</v>
      </c>
      <c r="N27" s="104" t="n">
        <v>0</v>
      </c>
      <c r="O27" s="104" t="n">
        <v>0</v>
      </c>
      <c r="P27" s="104" t="n">
        <v>0</v>
      </c>
      <c r="Q27" s="104" t="n">
        <v>0</v>
      </c>
      <c r="R27" s="104" t="n">
        <v>0</v>
      </c>
      <c r="S27" s="104" t="n">
        <v>0</v>
      </c>
      <c r="T27" s="104" t="n">
        <v>0</v>
      </c>
      <c r="U27" s="104" t="n">
        <v>0</v>
      </c>
      <c r="V27" s="104" t="n">
        <v>0</v>
      </c>
      <c r="W27" s="104" t="n">
        <v>0</v>
      </c>
      <c r="X27" s="104" t="n">
        <v>0</v>
      </c>
      <c r="Y27" s="104" t="n">
        <v>0</v>
      </c>
      <c r="Z27" s="104" t="n">
        <v>0</v>
      </c>
      <c r="AA27" s="104" t="n">
        <v>0</v>
      </c>
      <c r="AB27" s="104" t="n">
        <v>0</v>
      </c>
      <c r="AC27" s="104" t="n">
        <v>0</v>
      </c>
      <c r="AD27" s="104" t="n">
        <v>0</v>
      </c>
      <c r="AE27" s="104" t="n">
        <v>0</v>
      </c>
      <c r="AF27" s="104" t="n">
        <v>0</v>
      </c>
      <c r="AG27" s="104" t="n">
        <v>0</v>
      </c>
      <c r="AH27" s="104" t="n">
        <v>0</v>
      </c>
      <c r="AI27">
        <f>IF(B27&lt;&gt;"", SUMIF(C27:AH27, 1), "")</f>
        <v/>
      </c>
      <c r="AJ27">
        <f>IF(B27&lt;&gt;"", AI27/32, "")</f>
        <v/>
      </c>
      <c r="AK27">
        <f>IF(B27="", "", IF(AJ27&gt;0.2, "Pérdida por Faltas", "Regular"))</f>
        <v/>
      </c>
    </row>
    <row r="28">
      <c r="A28">
        <f>IF(Base_Notas!A28&lt;&gt;"", Base_Notas!A28, "")</f>
        <v/>
      </c>
      <c r="B28">
        <f>IF(Base_Notas!B28&lt;&gt;"", Base_Notas!B28, "")</f>
        <v/>
      </c>
      <c r="C28" s="104" t="n">
        <v>0</v>
      </c>
      <c r="D28" s="104" t="n">
        <v>0</v>
      </c>
      <c r="E28" s="104" t="n">
        <v>0</v>
      </c>
      <c r="F28" s="104" t="n">
        <v>0</v>
      </c>
      <c r="G28" s="104" t="n">
        <v>0</v>
      </c>
      <c r="H28" s="104" t="n">
        <v>0</v>
      </c>
      <c r="I28" s="104" t="n">
        <v>0</v>
      </c>
      <c r="J28" s="104" t="n">
        <v>0</v>
      </c>
      <c r="K28" s="104" t="n">
        <v>0</v>
      </c>
      <c r="L28" s="104" t="n">
        <v>0</v>
      </c>
      <c r="M28" s="104" t="n">
        <v>0</v>
      </c>
      <c r="N28" s="104" t="n">
        <v>0</v>
      </c>
      <c r="O28" s="104" t="n">
        <v>0</v>
      </c>
      <c r="P28" s="104" t="n">
        <v>0</v>
      </c>
      <c r="Q28" s="104" t="n">
        <v>0</v>
      </c>
      <c r="R28" s="104" t="n">
        <v>0</v>
      </c>
      <c r="S28" s="104" t="n">
        <v>0</v>
      </c>
      <c r="T28" s="104" t="n">
        <v>0</v>
      </c>
      <c r="U28" s="104" t="n">
        <v>0</v>
      </c>
      <c r="V28" s="104" t="n">
        <v>0</v>
      </c>
      <c r="W28" s="104" t="n">
        <v>0</v>
      </c>
      <c r="X28" s="104" t="n">
        <v>0</v>
      </c>
      <c r="Y28" s="104" t="n">
        <v>0</v>
      </c>
      <c r="Z28" s="104" t="n">
        <v>0</v>
      </c>
      <c r="AA28" s="104" t="n">
        <v>0</v>
      </c>
      <c r="AB28" s="104" t="n">
        <v>0</v>
      </c>
      <c r="AC28" s="104" t="n">
        <v>0</v>
      </c>
      <c r="AD28" s="104" t="n">
        <v>0</v>
      </c>
      <c r="AE28" s="104" t="n">
        <v>0</v>
      </c>
      <c r="AF28" s="104" t="n">
        <v>0</v>
      </c>
      <c r="AG28" s="104" t="n">
        <v>0</v>
      </c>
      <c r="AH28" s="104" t="n">
        <v>0</v>
      </c>
      <c r="AI28">
        <f>IF(B28&lt;&gt;"", SUMIF(C28:AH28, 1), "")</f>
        <v/>
      </c>
      <c r="AJ28">
        <f>IF(B28&lt;&gt;"", AI28/32, "")</f>
        <v/>
      </c>
      <c r="AK28">
        <f>IF(B28="", "", IF(AJ28&gt;0.2, "Pérdida por Faltas", "Regular"))</f>
        <v/>
      </c>
    </row>
    <row r="29">
      <c r="A29">
        <f>IF(Base_Notas!A29&lt;&gt;"", Base_Notas!A29, "")</f>
        <v/>
      </c>
      <c r="B29">
        <f>IF(Base_Notas!B29&lt;&gt;"", Base_Notas!B29, "")</f>
        <v/>
      </c>
      <c r="C29" s="104" t="n">
        <v>0</v>
      </c>
      <c r="D29" s="104" t="n">
        <v>0</v>
      </c>
      <c r="E29" s="104" t="n">
        <v>0</v>
      </c>
      <c r="F29" s="104" t="n">
        <v>0</v>
      </c>
      <c r="G29" s="104" t="n">
        <v>0</v>
      </c>
      <c r="H29" s="104" t="n">
        <v>0</v>
      </c>
      <c r="I29" s="104" t="n">
        <v>0</v>
      </c>
      <c r="J29" s="104" t="n">
        <v>0</v>
      </c>
      <c r="K29" s="104" t="n">
        <v>0</v>
      </c>
      <c r="L29" s="104" t="n">
        <v>0</v>
      </c>
      <c r="M29" s="104" t="n">
        <v>0</v>
      </c>
      <c r="N29" s="104" t="n">
        <v>0</v>
      </c>
      <c r="O29" s="104" t="n">
        <v>0</v>
      </c>
      <c r="P29" s="104" t="n">
        <v>0</v>
      </c>
      <c r="Q29" s="104" t="n">
        <v>0</v>
      </c>
      <c r="R29" s="104" t="n">
        <v>0</v>
      </c>
      <c r="S29" s="104" t="n">
        <v>0</v>
      </c>
      <c r="T29" s="104" t="n">
        <v>0</v>
      </c>
      <c r="U29" s="104" t="n">
        <v>0</v>
      </c>
      <c r="V29" s="104" t="n">
        <v>0</v>
      </c>
      <c r="W29" s="104" t="n">
        <v>0</v>
      </c>
      <c r="X29" s="104" t="n">
        <v>0</v>
      </c>
      <c r="Y29" s="104" t="n">
        <v>0</v>
      </c>
      <c r="Z29" s="104" t="n">
        <v>0</v>
      </c>
      <c r="AA29" s="104" t="n">
        <v>0</v>
      </c>
      <c r="AB29" s="104" t="n">
        <v>0</v>
      </c>
      <c r="AC29" s="104" t="n">
        <v>0</v>
      </c>
      <c r="AD29" s="104" t="n">
        <v>0</v>
      </c>
      <c r="AE29" s="104" t="n">
        <v>0</v>
      </c>
      <c r="AF29" s="104" t="n">
        <v>0</v>
      </c>
      <c r="AG29" s="104" t="n">
        <v>0</v>
      </c>
      <c r="AH29" s="104" t="n">
        <v>0</v>
      </c>
      <c r="AI29">
        <f>IF(B29&lt;&gt;"", SUMIF(C29:AH29, 1), "")</f>
        <v/>
      </c>
      <c r="AJ29">
        <f>IF(B29&lt;&gt;"", AI29/32, "")</f>
        <v/>
      </c>
      <c r="AK29">
        <f>IF(B29="", "", IF(AJ29&gt;0.2, "Pérdida por Faltas", "Regular"))</f>
        <v/>
      </c>
    </row>
    <row r="30">
      <c r="A30">
        <f>IF(Base_Notas!A30&lt;&gt;"", Base_Notas!A30, "")</f>
        <v/>
      </c>
      <c r="B30">
        <f>IF(Base_Notas!B30&lt;&gt;"", Base_Notas!B30, "")</f>
        <v/>
      </c>
      <c r="C30" s="104" t="n">
        <v>0</v>
      </c>
      <c r="D30" s="104" t="n">
        <v>0</v>
      </c>
      <c r="E30" s="104" t="n">
        <v>0</v>
      </c>
      <c r="F30" s="104" t="n">
        <v>0</v>
      </c>
      <c r="G30" s="104" t="n">
        <v>0</v>
      </c>
      <c r="H30" s="104" t="n">
        <v>0</v>
      </c>
      <c r="I30" s="104" t="n">
        <v>0</v>
      </c>
      <c r="J30" s="104" t="n">
        <v>0</v>
      </c>
      <c r="K30" s="104" t="n">
        <v>0</v>
      </c>
      <c r="L30" s="104" t="n">
        <v>0</v>
      </c>
      <c r="M30" s="104" t="n">
        <v>0</v>
      </c>
      <c r="N30" s="104" t="n">
        <v>0</v>
      </c>
      <c r="O30" s="104" t="n">
        <v>0</v>
      </c>
      <c r="P30" s="104" t="n">
        <v>0</v>
      </c>
      <c r="Q30" s="104" t="n">
        <v>0</v>
      </c>
      <c r="R30" s="104" t="n">
        <v>0</v>
      </c>
      <c r="S30" s="104" t="n">
        <v>0</v>
      </c>
      <c r="T30" s="104" t="n">
        <v>0</v>
      </c>
      <c r="U30" s="104" t="n">
        <v>0</v>
      </c>
      <c r="V30" s="104" t="n">
        <v>0</v>
      </c>
      <c r="W30" s="104" t="n">
        <v>0</v>
      </c>
      <c r="X30" s="104" t="n">
        <v>0</v>
      </c>
      <c r="Y30" s="104" t="n">
        <v>0</v>
      </c>
      <c r="Z30" s="104" t="n">
        <v>0</v>
      </c>
      <c r="AA30" s="104" t="n">
        <v>0</v>
      </c>
      <c r="AB30" s="104" t="n">
        <v>0</v>
      </c>
      <c r="AC30" s="104" t="n">
        <v>0</v>
      </c>
      <c r="AD30" s="104" t="n">
        <v>0</v>
      </c>
      <c r="AE30" s="104" t="n">
        <v>0</v>
      </c>
      <c r="AF30" s="104" t="n">
        <v>0</v>
      </c>
      <c r="AG30" s="104" t="n">
        <v>0</v>
      </c>
      <c r="AH30" s="104" t="n">
        <v>0</v>
      </c>
      <c r="AI30">
        <f>IF(B30&lt;&gt;"", SUMIF(C30:AH30, 1), "")</f>
        <v/>
      </c>
      <c r="AJ30">
        <f>IF(B30&lt;&gt;"", AI30/32, "")</f>
        <v/>
      </c>
      <c r="AK30">
        <f>IF(B30="", "", IF(AJ30&gt;0.2, "Pérdida por Faltas", "Regular"))</f>
        <v/>
      </c>
    </row>
    <row r="31">
      <c r="A31">
        <f>IF(Base_Notas!A31&lt;&gt;"", Base_Notas!A31, "")</f>
        <v/>
      </c>
      <c r="B31">
        <f>IF(Base_Notas!B31&lt;&gt;"", Base_Notas!B31, "")</f>
        <v/>
      </c>
      <c r="C31" s="104" t="n">
        <v>0</v>
      </c>
      <c r="D31" s="104" t="n">
        <v>0</v>
      </c>
      <c r="E31" s="104" t="n">
        <v>0</v>
      </c>
      <c r="F31" s="104" t="n">
        <v>0</v>
      </c>
      <c r="G31" s="104" t="n">
        <v>0</v>
      </c>
      <c r="H31" s="104" t="n">
        <v>0</v>
      </c>
      <c r="I31" s="104" t="n">
        <v>0</v>
      </c>
      <c r="J31" s="104" t="n">
        <v>0</v>
      </c>
      <c r="K31" s="104" t="n">
        <v>0</v>
      </c>
      <c r="L31" s="104" t="n">
        <v>0</v>
      </c>
      <c r="M31" s="104" t="n">
        <v>0</v>
      </c>
      <c r="N31" s="104" t="n">
        <v>0</v>
      </c>
      <c r="O31" s="104" t="n">
        <v>0</v>
      </c>
      <c r="P31" s="104" t="n">
        <v>0</v>
      </c>
      <c r="Q31" s="104" t="n">
        <v>0</v>
      </c>
      <c r="R31" s="104" t="n">
        <v>0</v>
      </c>
      <c r="S31" s="104" t="n">
        <v>0</v>
      </c>
      <c r="T31" s="104" t="n">
        <v>0</v>
      </c>
      <c r="U31" s="104" t="n">
        <v>0</v>
      </c>
      <c r="V31" s="104" t="n">
        <v>0</v>
      </c>
      <c r="W31" s="104" t="n">
        <v>0</v>
      </c>
      <c r="X31" s="104" t="n">
        <v>0</v>
      </c>
      <c r="Y31" s="104" t="n">
        <v>0</v>
      </c>
      <c r="Z31" s="104" t="n">
        <v>0</v>
      </c>
      <c r="AA31" s="104" t="n">
        <v>0</v>
      </c>
      <c r="AB31" s="104" t="n">
        <v>0</v>
      </c>
      <c r="AC31" s="104" t="n">
        <v>0</v>
      </c>
      <c r="AD31" s="104" t="n">
        <v>0</v>
      </c>
      <c r="AE31" s="104" t="n">
        <v>0</v>
      </c>
      <c r="AF31" s="104" t="n">
        <v>0</v>
      </c>
      <c r="AG31" s="104" t="n">
        <v>0</v>
      </c>
      <c r="AH31" s="104" t="n">
        <v>0</v>
      </c>
      <c r="AI31">
        <f>IF(B31&lt;&gt;"", SUMIF(C31:AH31, 1), "")</f>
        <v/>
      </c>
      <c r="AJ31">
        <f>IF(B31&lt;&gt;"", AI31/32, "")</f>
        <v/>
      </c>
      <c r="AK31">
        <f>IF(B31="", "", IF(AJ31&gt;0.2, "Pérdida por Faltas", "Regular"))</f>
        <v/>
      </c>
    </row>
    <row r="32">
      <c r="A32">
        <f>IF(Base_Notas!A32&lt;&gt;"", Base_Notas!A32, "")</f>
        <v/>
      </c>
      <c r="B32">
        <f>IF(Base_Notas!B32&lt;&gt;"", Base_Notas!B32, "")</f>
        <v/>
      </c>
      <c r="C32" s="104" t="n">
        <v>0</v>
      </c>
      <c r="D32" s="104" t="n">
        <v>0</v>
      </c>
      <c r="E32" s="104" t="n">
        <v>0</v>
      </c>
      <c r="F32" s="104" t="n">
        <v>0</v>
      </c>
      <c r="G32" s="104" t="n">
        <v>0</v>
      </c>
      <c r="H32" s="104" t="n">
        <v>0</v>
      </c>
      <c r="I32" s="104" t="n">
        <v>0</v>
      </c>
      <c r="J32" s="104" t="n">
        <v>0</v>
      </c>
      <c r="K32" s="104" t="n">
        <v>0</v>
      </c>
      <c r="L32" s="104" t="n">
        <v>0</v>
      </c>
      <c r="M32" s="104" t="n">
        <v>0</v>
      </c>
      <c r="N32" s="104" t="n">
        <v>0</v>
      </c>
      <c r="O32" s="104" t="n">
        <v>0</v>
      </c>
      <c r="P32" s="104" t="n">
        <v>0</v>
      </c>
      <c r="Q32" s="104" t="n">
        <v>0</v>
      </c>
      <c r="R32" s="104" t="n">
        <v>0</v>
      </c>
      <c r="S32" s="104" t="n">
        <v>0</v>
      </c>
      <c r="T32" s="104" t="n">
        <v>0</v>
      </c>
      <c r="U32" s="104" t="n">
        <v>0</v>
      </c>
      <c r="V32" s="104" t="n">
        <v>0</v>
      </c>
      <c r="W32" s="104" t="n">
        <v>0</v>
      </c>
      <c r="X32" s="104" t="n">
        <v>0</v>
      </c>
      <c r="Y32" s="104" t="n">
        <v>0</v>
      </c>
      <c r="Z32" s="104" t="n">
        <v>0</v>
      </c>
      <c r="AA32" s="104" t="n">
        <v>0</v>
      </c>
      <c r="AB32" s="104" t="n">
        <v>0</v>
      </c>
      <c r="AC32" s="104" t="n">
        <v>0</v>
      </c>
      <c r="AD32" s="104" t="n">
        <v>0</v>
      </c>
      <c r="AE32" s="104" t="n">
        <v>0</v>
      </c>
      <c r="AF32" s="104" t="n">
        <v>0</v>
      </c>
      <c r="AG32" s="104" t="n">
        <v>0</v>
      </c>
      <c r="AH32" s="104" t="n">
        <v>0</v>
      </c>
      <c r="AI32">
        <f>IF(B32&lt;&gt;"", SUMIF(C32:AH32, 1), "")</f>
        <v/>
      </c>
      <c r="AJ32">
        <f>IF(B32&lt;&gt;"", AI32/32, "")</f>
        <v/>
      </c>
      <c r="AK32">
        <f>IF(B32="", "", IF(AJ32&gt;0.2, "Pérdida por Faltas", "Regular"))</f>
        <v/>
      </c>
    </row>
    <row r="33">
      <c r="A33">
        <f>IF(Base_Notas!A33&lt;&gt;"", Base_Notas!A33, "")</f>
        <v/>
      </c>
      <c r="B33">
        <f>IF(Base_Notas!B33&lt;&gt;"", Base_Notas!B33, "")</f>
        <v/>
      </c>
      <c r="C33" s="104" t="n">
        <v>0</v>
      </c>
      <c r="D33" s="104" t="n">
        <v>0</v>
      </c>
      <c r="E33" s="104" t="n">
        <v>0</v>
      </c>
      <c r="F33" s="104" t="n">
        <v>0</v>
      </c>
      <c r="G33" s="104" t="n">
        <v>0</v>
      </c>
      <c r="H33" s="104" t="n">
        <v>0</v>
      </c>
      <c r="I33" s="104" t="n">
        <v>0</v>
      </c>
      <c r="J33" s="104" t="n">
        <v>0</v>
      </c>
      <c r="K33" s="104" t="n">
        <v>0</v>
      </c>
      <c r="L33" s="104" t="n">
        <v>0</v>
      </c>
      <c r="M33" s="104" t="n">
        <v>0</v>
      </c>
      <c r="N33" s="104" t="n">
        <v>0</v>
      </c>
      <c r="O33" s="104" t="n">
        <v>0</v>
      </c>
      <c r="P33" s="104" t="n">
        <v>0</v>
      </c>
      <c r="Q33" s="104" t="n">
        <v>0</v>
      </c>
      <c r="R33" s="104" t="n">
        <v>0</v>
      </c>
      <c r="S33" s="104" t="n">
        <v>0</v>
      </c>
      <c r="T33" s="104" t="n">
        <v>0</v>
      </c>
      <c r="U33" s="104" t="n">
        <v>0</v>
      </c>
      <c r="V33" s="104" t="n">
        <v>0</v>
      </c>
      <c r="W33" s="104" t="n">
        <v>0</v>
      </c>
      <c r="X33" s="104" t="n">
        <v>0</v>
      </c>
      <c r="Y33" s="104" t="n">
        <v>0</v>
      </c>
      <c r="Z33" s="104" t="n">
        <v>0</v>
      </c>
      <c r="AA33" s="104" t="n">
        <v>0</v>
      </c>
      <c r="AB33" s="104" t="n">
        <v>0</v>
      </c>
      <c r="AC33" s="104" t="n">
        <v>0</v>
      </c>
      <c r="AD33" s="104" t="n">
        <v>0</v>
      </c>
      <c r="AE33" s="104" t="n">
        <v>0</v>
      </c>
      <c r="AF33" s="104" t="n">
        <v>0</v>
      </c>
      <c r="AG33" s="104" t="n">
        <v>0</v>
      </c>
      <c r="AH33" s="104" t="n">
        <v>0</v>
      </c>
      <c r="AI33">
        <f>IF(B33&lt;&gt;"", SUMIF(C33:AH33, 1), "")</f>
        <v/>
      </c>
      <c r="AJ33">
        <f>IF(B33&lt;&gt;"", AI33/32, "")</f>
        <v/>
      </c>
      <c r="AK33">
        <f>IF(B33="", "", IF(AJ33&gt;0.2, "Pérdida por Faltas", "Regular"))</f>
        <v/>
      </c>
    </row>
    <row r="34">
      <c r="A34">
        <f>IF(Base_Notas!A34&lt;&gt;"", Base_Notas!A34, "")</f>
        <v/>
      </c>
      <c r="B34">
        <f>IF(Base_Notas!B34&lt;&gt;"", Base_Notas!B34, "")</f>
        <v/>
      </c>
      <c r="C34" s="104" t="n">
        <v>0</v>
      </c>
      <c r="D34" s="104" t="n">
        <v>0</v>
      </c>
      <c r="E34" s="104" t="n">
        <v>0</v>
      </c>
      <c r="F34" s="104" t="n">
        <v>0</v>
      </c>
      <c r="G34" s="104" t="n">
        <v>0</v>
      </c>
      <c r="H34" s="104" t="n">
        <v>0</v>
      </c>
      <c r="I34" s="104" t="n">
        <v>0</v>
      </c>
      <c r="J34" s="104" t="n">
        <v>0</v>
      </c>
      <c r="K34" s="104" t="n">
        <v>0</v>
      </c>
      <c r="L34" s="104" t="n">
        <v>0</v>
      </c>
      <c r="M34" s="104" t="n">
        <v>0</v>
      </c>
      <c r="N34" s="104" t="n">
        <v>0</v>
      </c>
      <c r="O34" s="104" t="n">
        <v>0</v>
      </c>
      <c r="P34" s="104" t="n">
        <v>0</v>
      </c>
      <c r="Q34" s="104" t="n">
        <v>0</v>
      </c>
      <c r="R34" s="104" t="n">
        <v>0</v>
      </c>
      <c r="S34" s="104" t="n">
        <v>0</v>
      </c>
      <c r="T34" s="104" t="n">
        <v>0</v>
      </c>
      <c r="U34" s="104" t="n">
        <v>0</v>
      </c>
      <c r="V34" s="104" t="n">
        <v>0</v>
      </c>
      <c r="W34" s="104" t="n">
        <v>0</v>
      </c>
      <c r="X34" s="104" t="n">
        <v>0</v>
      </c>
      <c r="Y34" s="104" t="n">
        <v>0</v>
      </c>
      <c r="Z34" s="104" t="n">
        <v>0</v>
      </c>
      <c r="AA34" s="104" t="n">
        <v>0</v>
      </c>
      <c r="AB34" s="104" t="n">
        <v>0</v>
      </c>
      <c r="AC34" s="104" t="n">
        <v>0</v>
      </c>
      <c r="AD34" s="104" t="n">
        <v>0</v>
      </c>
      <c r="AE34" s="104" t="n">
        <v>0</v>
      </c>
      <c r="AF34" s="104" t="n">
        <v>0</v>
      </c>
      <c r="AG34" s="104" t="n">
        <v>0</v>
      </c>
      <c r="AH34" s="104" t="n">
        <v>0</v>
      </c>
      <c r="AI34">
        <f>IF(B34&lt;&gt;"", SUMIF(C34:AH34, 1), "")</f>
        <v/>
      </c>
      <c r="AJ34">
        <f>IF(B34&lt;&gt;"", AI34/32, "")</f>
        <v/>
      </c>
      <c r="AK34">
        <f>IF(B34="", "", IF(AJ34&gt;0.2, "Pérdida por Faltas", "Regular"))</f>
        <v/>
      </c>
    </row>
    <row r="35">
      <c r="A35">
        <f>IF(Base_Notas!A35&lt;&gt;"", Base_Notas!A35, "")</f>
        <v/>
      </c>
      <c r="B35">
        <f>IF(Base_Notas!B35&lt;&gt;"", Base_Notas!B35, "")</f>
        <v/>
      </c>
      <c r="C35" s="104" t="n">
        <v>0</v>
      </c>
      <c r="D35" s="104" t="n">
        <v>0</v>
      </c>
      <c r="E35" s="104" t="n">
        <v>0</v>
      </c>
      <c r="F35" s="104" t="n">
        <v>0</v>
      </c>
      <c r="G35" s="104" t="n">
        <v>0</v>
      </c>
      <c r="H35" s="104" t="n">
        <v>0</v>
      </c>
      <c r="I35" s="104" t="n">
        <v>0</v>
      </c>
      <c r="J35" s="104" t="n">
        <v>0</v>
      </c>
      <c r="K35" s="104" t="n">
        <v>0</v>
      </c>
      <c r="L35" s="104" t="n">
        <v>0</v>
      </c>
      <c r="M35" s="104" t="n">
        <v>0</v>
      </c>
      <c r="N35" s="104" t="n">
        <v>0</v>
      </c>
      <c r="O35" s="104" t="n">
        <v>0</v>
      </c>
      <c r="P35" s="104" t="n">
        <v>0</v>
      </c>
      <c r="Q35" s="104" t="n">
        <v>0</v>
      </c>
      <c r="R35" s="104" t="n">
        <v>0</v>
      </c>
      <c r="S35" s="104" t="n">
        <v>0</v>
      </c>
      <c r="T35" s="104" t="n">
        <v>0</v>
      </c>
      <c r="U35" s="104" t="n">
        <v>0</v>
      </c>
      <c r="V35" s="104" t="n">
        <v>0</v>
      </c>
      <c r="W35" s="104" t="n">
        <v>0</v>
      </c>
      <c r="X35" s="104" t="n">
        <v>0</v>
      </c>
      <c r="Y35" s="104" t="n">
        <v>0</v>
      </c>
      <c r="Z35" s="104" t="n">
        <v>0</v>
      </c>
      <c r="AA35" s="104" t="n">
        <v>0</v>
      </c>
      <c r="AB35" s="104" t="n">
        <v>0</v>
      </c>
      <c r="AC35" s="104" t="n">
        <v>0</v>
      </c>
      <c r="AD35" s="104" t="n">
        <v>0</v>
      </c>
      <c r="AE35" s="104" t="n">
        <v>0</v>
      </c>
      <c r="AF35" s="104" t="n">
        <v>0</v>
      </c>
      <c r="AG35" s="104" t="n">
        <v>0</v>
      </c>
      <c r="AH35" s="104" t="n">
        <v>0</v>
      </c>
      <c r="AI35">
        <f>IF(B35&lt;&gt;"", SUMIF(C35:AH35, 1), "")</f>
        <v/>
      </c>
      <c r="AJ35">
        <f>IF(B35&lt;&gt;"", AI35/32, "")</f>
        <v/>
      </c>
      <c r="AK35">
        <f>IF(B35="", "", IF(AJ35&gt;0.2, "Pérdida por Faltas", "Regular"))</f>
        <v/>
      </c>
    </row>
    <row r="36">
      <c r="A36">
        <f>IF(Base_Notas!A36&lt;&gt;"", Base_Notas!A36, "")</f>
        <v/>
      </c>
      <c r="B36">
        <f>IF(Base_Notas!B36&lt;&gt;"", Base_Notas!B36, "")</f>
        <v/>
      </c>
      <c r="C36" s="104" t="n">
        <v>0</v>
      </c>
      <c r="D36" s="104" t="n">
        <v>0</v>
      </c>
      <c r="E36" s="104" t="n">
        <v>0</v>
      </c>
      <c r="F36" s="104" t="n">
        <v>0</v>
      </c>
      <c r="G36" s="104" t="n">
        <v>0</v>
      </c>
      <c r="H36" s="104" t="n">
        <v>0</v>
      </c>
      <c r="I36" s="104" t="n">
        <v>0</v>
      </c>
      <c r="J36" s="104" t="n">
        <v>0</v>
      </c>
      <c r="K36" s="104" t="n">
        <v>0</v>
      </c>
      <c r="L36" s="104" t="n">
        <v>0</v>
      </c>
      <c r="M36" s="104" t="n">
        <v>0</v>
      </c>
      <c r="N36" s="104" t="n">
        <v>0</v>
      </c>
      <c r="O36" s="104" t="n">
        <v>0</v>
      </c>
      <c r="P36" s="104" t="n">
        <v>0</v>
      </c>
      <c r="Q36" s="104" t="n">
        <v>0</v>
      </c>
      <c r="R36" s="104" t="n">
        <v>0</v>
      </c>
      <c r="S36" s="104" t="n">
        <v>0</v>
      </c>
      <c r="T36" s="104" t="n">
        <v>0</v>
      </c>
      <c r="U36" s="104" t="n">
        <v>0</v>
      </c>
      <c r="V36" s="104" t="n">
        <v>0</v>
      </c>
      <c r="W36" s="104" t="n">
        <v>0</v>
      </c>
      <c r="X36" s="104" t="n">
        <v>0</v>
      </c>
      <c r="Y36" s="104" t="n">
        <v>0</v>
      </c>
      <c r="Z36" s="104" t="n">
        <v>0</v>
      </c>
      <c r="AA36" s="104" t="n">
        <v>0</v>
      </c>
      <c r="AB36" s="104" t="n">
        <v>0</v>
      </c>
      <c r="AC36" s="104" t="n">
        <v>0</v>
      </c>
      <c r="AD36" s="104" t="n">
        <v>0</v>
      </c>
      <c r="AE36" s="104" t="n">
        <v>0</v>
      </c>
      <c r="AF36" s="104" t="n">
        <v>0</v>
      </c>
      <c r="AG36" s="104" t="n">
        <v>0</v>
      </c>
      <c r="AH36" s="104" t="n">
        <v>0</v>
      </c>
      <c r="AI36">
        <f>IF(B36&lt;&gt;"", SUMIF(C36:AH36, 1), "")</f>
        <v/>
      </c>
      <c r="AJ36">
        <f>IF(B36&lt;&gt;"", AI36/32, "")</f>
        <v/>
      </c>
      <c r="AK36">
        <f>IF(B36="", "", IF(AJ36&gt;0.2, "Pérdida por Faltas", "Regular"))</f>
        <v/>
      </c>
    </row>
    <row r="37">
      <c r="A37">
        <f>IF(Base_Notas!A37&lt;&gt;"", Base_Notas!A37, "")</f>
        <v/>
      </c>
      <c r="B37">
        <f>IF(Base_Notas!B37&lt;&gt;"", Base_Notas!B37, "")</f>
        <v/>
      </c>
      <c r="C37" s="104" t="n">
        <v>0</v>
      </c>
      <c r="D37" s="104" t="n">
        <v>0</v>
      </c>
      <c r="E37" s="104" t="n">
        <v>0</v>
      </c>
      <c r="F37" s="104" t="n">
        <v>0</v>
      </c>
      <c r="G37" s="104" t="n">
        <v>0</v>
      </c>
      <c r="H37" s="104" t="n">
        <v>0</v>
      </c>
      <c r="I37" s="104" t="n">
        <v>0</v>
      </c>
      <c r="J37" s="104" t="n">
        <v>0</v>
      </c>
      <c r="K37" s="104" t="n">
        <v>0</v>
      </c>
      <c r="L37" s="104" t="n">
        <v>0</v>
      </c>
      <c r="M37" s="104" t="n">
        <v>0</v>
      </c>
      <c r="N37" s="104" t="n">
        <v>0</v>
      </c>
      <c r="O37" s="104" t="n">
        <v>0</v>
      </c>
      <c r="P37" s="104" t="n">
        <v>0</v>
      </c>
      <c r="Q37" s="104" t="n">
        <v>0</v>
      </c>
      <c r="R37" s="104" t="n">
        <v>0</v>
      </c>
      <c r="S37" s="104" t="n">
        <v>0</v>
      </c>
      <c r="T37" s="104" t="n">
        <v>0</v>
      </c>
      <c r="U37" s="104" t="n">
        <v>0</v>
      </c>
      <c r="V37" s="104" t="n">
        <v>0</v>
      </c>
      <c r="W37" s="104" t="n">
        <v>0</v>
      </c>
      <c r="X37" s="104" t="n">
        <v>0</v>
      </c>
      <c r="Y37" s="104" t="n">
        <v>0</v>
      </c>
      <c r="Z37" s="104" t="n">
        <v>0</v>
      </c>
      <c r="AA37" s="104" t="n">
        <v>0</v>
      </c>
      <c r="AB37" s="104" t="n">
        <v>0</v>
      </c>
      <c r="AC37" s="104" t="n">
        <v>0</v>
      </c>
      <c r="AD37" s="104" t="n">
        <v>0</v>
      </c>
      <c r="AE37" s="104" t="n">
        <v>0</v>
      </c>
      <c r="AF37" s="104" t="n">
        <v>0</v>
      </c>
      <c r="AG37" s="104" t="n">
        <v>0</v>
      </c>
      <c r="AH37" s="104" t="n">
        <v>0</v>
      </c>
      <c r="AI37">
        <f>IF(B37&lt;&gt;"", SUMIF(C37:AH37, 1), "")</f>
        <v/>
      </c>
      <c r="AJ37">
        <f>IF(B37&lt;&gt;"", AI37/32, "")</f>
        <v/>
      </c>
      <c r="AK37">
        <f>IF(B37="", "", IF(AJ37&gt;0.2, "Pérdida por Faltas", "Regular"))</f>
        <v/>
      </c>
    </row>
    <row r="38">
      <c r="A38">
        <f>IF(Base_Notas!A38&lt;&gt;"", Base_Notas!A38, "")</f>
        <v/>
      </c>
      <c r="B38">
        <f>IF(Base_Notas!B38&lt;&gt;"", Base_Notas!B38, "")</f>
        <v/>
      </c>
      <c r="C38" s="104" t="n">
        <v>0</v>
      </c>
      <c r="D38" s="104" t="n">
        <v>0</v>
      </c>
      <c r="E38" s="104" t="n">
        <v>0</v>
      </c>
      <c r="F38" s="104" t="n">
        <v>0</v>
      </c>
      <c r="G38" s="104" t="n">
        <v>0</v>
      </c>
      <c r="H38" s="104" t="n">
        <v>0</v>
      </c>
      <c r="I38" s="104" t="n">
        <v>0</v>
      </c>
      <c r="J38" s="104" t="n">
        <v>0</v>
      </c>
      <c r="K38" s="104" t="n">
        <v>0</v>
      </c>
      <c r="L38" s="104" t="n">
        <v>0</v>
      </c>
      <c r="M38" s="104" t="n">
        <v>0</v>
      </c>
      <c r="N38" s="104" t="n">
        <v>0</v>
      </c>
      <c r="O38" s="104" t="n">
        <v>0</v>
      </c>
      <c r="P38" s="104" t="n">
        <v>0</v>
      </c>
      <c r="Q38" s="104" t="n">
        <v>0</v>
      </c>
      <c r="R38" s="104" t="n">
        <v>0</v>
      </c>
      <c r="S38" s="104" t="n">
        <v>0</v>
      </c>
      <c r="T38" s="104" t="n">
        <v>0</v>
      </c>
      <c r="U38" s="104" t="n">
        <v>0</v>
      </c>
      <c r="V38" s="104" t="n">
        <v>0</v>
      </c>
      <c r="W38" s="104" t="n">
        <v>0</v>
      </c>
      <c r="X38" s="104" t="n">
        <v>0</v>
      </c>
      <c r="Y38" s="104" t="n">
        <v>0</v>
      </c>
      <c r="Z38" s="104" t="n">
        <v>0</v>
      </c>
      <c r="AA38" s="104" t="n">
        <v>0</v>
      </c>
      <c r="AB38" s="104" t="n">
        <v>0</v>
      </c>
      <c r="AC38" s="104" t="n">
        <v>0</v>
      </c>
      <c r="AD38" s="104" t="n">
        <v>0</v>
      </c>
      <c r="AE38" s="104" t="n">
        <v>0</v>
      </c>
      <c r="AF38" s="104" t="n">
        <v>0</v>
      </c>
      <c r="AG38" s="104" t="n">
        <v>0</v>
      </c>
      <c r="AH38" s="104" t="n">
        <v>0</v>
      </c>
      <c r="AI38">
        <f>IF(B38&lt;&gt;"", SUMIF(C38:AH38, 1), "")</f>
        <v/>
      </c>
      <c r="AJ38">
        <f>IF(B38&lt;&gt;"", AI38/32, "")</f>
        <v/>
      </c>
      <c r="AK38">
        <f>IF(B38="", "", IF(AJ38&gt;0.2, "Pérdida por Faltas", "Regular"))</f>
        <v/>
      </c>
    </row>
    <row r="39">
      <c r="A39">
        <f>IF(Base_Notas!A39&lt;&gt;"", Base_Notas!A39, "")</f>
        <v/>
      </c>
      <c r="B39">
        <f>IF(Base_Notas!B39&lt;&gt;"", Base_Notas!B39, "")</f>
        <v/>
      </c>
      <c r="C39" s="104" t="n">
        <v>0</v>
      </c>
      <c r="D39" s="104" t="n">
        <v>0</v>
      </c>
      <c r="E39" s="104" t="n">
        <v>0</v>
      </c>
      <c r="F39" s="104" t="n">
        <v>0</v>
      </c>
      <c r="G39" s="104" t="n">
        <v>0</v>
      </c>
      <c r="H39" s="104" t="n">
        <v>0</v>
      </c>
      <c r="I39" s="104" t="n">
        <v>0</v>
      </c>
      <c r="J39" s="104" t="n">
        <v>0</v>
      </c>
      <c r="K39" s="104" t="n">
        <v>0</v>
      </c>
      <c r="L39" s="104" t="n">
        <v>0</v>
      </c>
      <c r="M39" s="104" t="n">
        <v>0</v>
      </c>
      <c r="N39" s="104" t="n">
        <v>0</v>
      </c>
      <c r="O39" s="104" t="n">
        <v>0</v>
      </c>
      <c r="P39" s="104" t="n">
        <v>0</v>
      </c>
      <c r="Q39" s="104" t="n">
        <v>0</v>
      </c>
      <c r="R39" s="104" t="n">
        <v>0</v>
      </c>
      <c r="S39" s="104" t="n">
        <v>0</v>
      </c>
      <c r="T39" s="104" t="n">
        <v>0</v>
      </c>
      <c r="U39" s="104" t="n">
        <v>0</v>
      </c>
      <c r="V39" s="104" t="n">
        <v>0</v>
      </c>
      <c r="W39" s="104" t="n">
        <v>0</v>
      </c>
      <c r="X39" s="104" t="n">
        <v>0</v>
      </c>
      <c r="Y39" s="104" t="n">
        <v>0</v>
      </c>
      <c r="Z39" s="104" t="n">
        <v>0</v>
      </c>
      <c r="AA39" s="104" t="n">
        <v>0</v>
      </c>
      <c r="AB39" s="104" t="n">
        <v>0</v>
      </c>
      <c r="AC39" s="104" t="n">
        <v>0</v>
      </c>
      <c r="AD39" s="104" t="n">
        <v>0</v>
      </c>
      <c r="AE39" s="104" t="n">
        <v>0</v>
      </c>
      <c r="AF39" s="104" t="n">
        <v>0</v>
      </c>
      <c r="AG39" s="104" t="n">
        <v>0</v>
      </c>
      <c r="AH39" s="104" t="n">
        <v>0</v>
      </c>
      <c r="AI39">
        <f>IF(B39&lt;&gt;"", SUMIF(C39:AH39, 1), "")</f>
        <v/>
      </c>
      <c r="AJ39">
        <f>IF(B39&lt;&gt;"", AI39/32, "")</f>
        <v/>
      </c>
      <c r="AK39">
        <f>IF(B39="", "", IF(AJ39&gt;0.2, "Pérdida por Faltas", "Regular"))</f>
        <v/>
      </c>
    </row>
    <row r="40">
      <c r="A40">
        <f>IF(Base_Notas!A40&lt;&gt;"", Base_Notas!A40, "")</f>
        <v/>
      </c>
      <c r="B40">
        <f>IF(Base_Notas!B40&lt;&gt;"", Base_Notas!B40, "")</f>
        <v/>
      </c>
      <c r="C40" s="104" t="n">
        <v>0</v>
      </c>
      <c r="D40" s="104" t="n">
        <v>0</v>
      </c>
      <c r="E40" s="104" t="n">
        <v>0</v>
      </c>
      <c r="F40" s="104" t="n">
        <v>0</v>
      </c>
      <c r="G40" s="104" t="n">
        <v>0</v>
      </c>
      <c r="H40" s="104" t="n">
        <v>0</v>
      </c>
      <c r="I40" s="104" t="n">
        <v>0</v>
      </c>
      <c r="J40" s="104" t="n">
        <v>0</v>
      </c>
      <c r="K40" s="104" t="n">
        <v>0</v>
      </c>
      <c r="L40" s="104" t="n">
        <v>0</v>
      </c>
      <c r="M40" s="104" t="n">
        <v>0</v>
      </c>
      <c r="N40" s="104" t="n">
        <v>0</v>
      </c>
      <c r="O40" s="104" t="n">
        <v>0</v>
      </c>
      <c r="P40" s="104" t="n">
        <v>0</v>
      </c>
      <c r="Q40" s="104" t="n">
        <v>0</v>
      </c>
      <c r="R40" s="104" t="n">
        <v>0</v>
      </c>
      <c r="S40" s="104" t="n">
        <v>0</v>
      </c>
      <c r="T40" s="104" t="n">
        <v>0</v>
      </c>
      <c r="U40" s="104" t="n">
        <v>0</v>
      </c>
      <c r="V40" s="104" t="n">
        <v>0</v>
      </c>
      <c r="W40" s="104" t="n">
        <v>0</v>
      </c>
      <c r="X40" s="104" t="n">
        <v>0</v>
      </c>
      <c r="Y40" s="104" t="n">
        <v>0</v>
      </c>
      <c r="Z40" s="104" t="n">
        <v>0</v>
      </c>
      <c r="AA40" s="104" t="n">
        <v>0</v>
      </c>
      <c r="AB40" s="104" t="n">
        <v>0</v>
      </c>
      <c r="AC40" s="104" t="n">
        <v>0</v>
      </c>
      <c r="AD40" s="104" t="n">
        <v>0</v>
      </c>
      <c r="AE40" s="104" t="n">
        <v>0</v>
      </c>
      <c r="AF40" s="104" t="n">
        <v>0</v>
      </c>
      <c r="AG40" s="104" t="n">
        <v>0</v>
      </c>
      <c r="AH40" s="104" t="n">
        <v>0</v>
      </c>
      <c r="AI40">
        <f>IF(B40&lt;&gt;"", SUMIF(C40:AH40, 1), "")</f>
        <v/>
      </c>
      <c r="AJ40">
        <f>IF(B40&lt;&gt;"", AI40/32, "")</f>
        <v/>
      </c>
      <c r="AK40">
        <f>IF(B40="", "", IF(AJ40&gt;0.2, "Pérdida por Faltas", "Regular"))</f>
        <v/>
      </c>
    </row>
    <row r="41">
      <c r="A41">
        <f>IF(Base_Notas!A41&lt;&gt;"", Base_Notas!A41, "")</f>
        <v/>
      </c>
      <c r="B41">
        <f>IF(Base_Notas!B41&lt;&gt;"", Base_Notas!B41, "")</f>
        <v/>
      </c>
      <c r="C41" s="104" t="n">
        <v>0</v>
      </c>
      <c r="D41" s="104" t="n">
        <v>0</v>
      </c>
      <c r="E41" s="104" t="n">
        <v>0</v>
      </c>
      <c r="F41" s="104" t="n">
        <v>0</v>
      </c>
      <c r="G41" s="104" t="n">
        <v>0</v>
      </c>
      <c r="H41" s="104" t="n">
        <v>0</v>
      </c>
      <c r="I41" s="104" t="n">
        <v>0</v>
      </c>
      <c r="J41" s="104" t="n">
        <v>0</v>
      </c>
      <c r="K41" s="104" t="n">
        <v>0</v>
      </c>
      <c r="L41" s="104" t="n">
        <v>0</v>
      </c>
      <c r="M41" s="104" t="n">
        <v>0</v>
      </c>
      <c r="N41" s="104" t="n">
        <v>0</v>
      </c>
      <c r="O41" s="104" t="n">
        <v>0</v>
      </c>
      <c r="P41" s="104" t="n">
        <v>0</v>
      </c>
      <c r="Q41" s="104" t="n">
        <v>0</v>
      </c>
      <c r="R41" s="104" t="n">
        <v>0</v>
      </c>
      <c r="S41" s="104" t="n">
        <v>0</v>
      </c>
      <c r="T41" s="104" t="n">
        <v>0</v>
      </c>
      <c r="U41" s="104" t="n">
        <v>0</v>
      </c>
      <c r="V41" s="104" t="n">
        <v>0</v>
      </c>
      <c r="W41" s="104" t="n">
        <v>0</v>
      </c>
      <c r="X41" s="104" t="n">
        <v>0</v>
      </c>
      <c r="Y41" s="104" t="n">
        <v>0</v>
      </c>
      <c r="Z41" s="104" t="n">
        <v>0</v>
      </c>
      <c r="AA41" s="104" t="n">
        <v>0</v>
      </c>
      <c r="AB41" s="104" t="n">
        <v>0</v>
      </c>
      <c r="AC41" s="104" t="n">
        <v>0</v>
      </c>
      <c r="AD41" s="104" t="n">
        <v>0</v>
      </c>
      <c r="AE41" s="104" t="n">
        <v>0</v>
      </c>
      <c r="AF41" s="104" t="n">
        <v>0</v>
      </c>
      <c r="AG41" s="104" t="n">
        <v>0</v>
      </c>
      <c r="AH41" s="104" t="n">
        <v>0</v>
      </c>
      <c r="AI41">
        <f>IF(B41&lt;&gt;"", SUMIF(C41:AH41, 1), "")</f>
        <v/>
      </c>
      <c r="AJ41">
        <f>IF(B41&lt;&gt;"", AI41/32, "")</f>
        <v/>
      </c>
      <c r="AK41">
        <f>IF(B41="", "", IF(AJ41&gt;0.2, "Pérdida por Faltas", "Regular"))</f>
        <v/>
      </c>
    </row>
    <row r="42">
      <c r="A42">
        <f>IF(Base_Notas!A42&lt;&gt;"", Base_Notas!A42, "")</f>
        <v/>
      </c>
      <c r="B42">
        <f>IF(Base_Notas!B42&lt;&gt;"", Base_Notas!B42, "")</f>
        <v/>
      </c>
      <c r="C42" s="104" t="n">
        <v>0</v>
      </c>
      <c r="D42" s="104" t="n">
        <v>0</v>
      </c>
      <c r="E42" s="104" t="n">
        <v>0</v>
      </c>
      <c r="F42" s="104" t="n">
        <v>0</v>
      </c>
      <c r="G42" s="104" t="n">
        <v>0</v>
      </c>
      <c r="H42" s="104" t="n">
        <v>0</v>
      </c>
      <c r="I42" s="104" t="n">
        <v>0</v>
      </c>
      <c r="J42" s="104" t="n">
        <v>0</v>
      </c>
      <c r="K42" s="104" t="n">
        <v>0</v>
      </c>
      <c r="L42" s="104" t="n">
        <v>0</v>
      </c>
      <c r="M42" s="104" t="n">
        <v>0</v>
      </c>
      <c r="N42" s="104" t="n">
        <v>0</v>
      </c>
      <c r="O42" s="104" t="n">
        <v>0</v>
      </c>
      <c r="P42" s="104" t="n">
        <v>0</v>
      </c>
      <c r="Q42" s="104" t="n">
        <v>0</v>
      </c>
      <c r="R42" s="104" t="n">
        <v>0</v>
      </c>
      <c r="S42" s="104" t="n">
        <v>0</v>
      </c>
      <c r="T42" s="104" t="n">
        <v>0</v>
      </c>
      <c r="U42" s="104" t="n">
        <v>0</v>
      </c>
      <c r="V42" s="104" t="n">
        <v>0</v>
      </c>
      <c r="W42" s="104" t="n">
        <v>0</v>
      </c>
      <c r="X42" s="104" t="n">
        <v>0</v>
      </c>
      <c r="Y42" s="104" t="n">
        <v>0</v>
      </c>
      <c r="Z42" s="104" t="n">
        <v>0</v>
      </c>
      <c r="AA42" s="104" t="n">
        <v>0</v>
      </c>
      <c r="AB42" s="104" t="n">
        <v>0</v>
      </c>
      <c r="AC42" s="104" t="n">
        <v>0</v>
      </c>
      <c r="AD42" s="104" t="n">
        <v>0</v>
      </c>
      <c r="AE42" s="104" t="n">
        <v>0</v>
      </c>
      <c r="AF42" s="104" t="n">
        <v>0</v>
      </c>
      <c r="AG42" s="104" t="n">
        <v>0</v>
      </c>
      <c r="AH42" s="104" t="n">
        <v>0</v>
      </c>
      <c r="AI42">
        <f>IF(B42&lt;&gt;"", SUMIF(C42:AH42, 1), "")</f>
        <v/>
      </c>
      <c r="AJ42">
        <f>IF(B42&lt;&gt;"", AI42/32, "")</f>
        <v/>
      </c>
      <c r="AK42">
        <f>IF(B42="", "", IF(AJ42&gt;0.2, "Pérdida por Faltas", "Regular"))</f>
        <v/>
      </c>
    </row>
    <row r="43">
      <c r="A43">
        <f>IF(Base_Notas!A43&lt;&gt;"", Base_Notas!A43, "")</f>
        <v/>
      </c>
      <c r="B43">
        <f>IF(Base_Notas!B43&lt;&gt;"", Base_Notas!B43, "")</f>
        <v/>
      </c>
      <c r="C43" s="104" t="n">
        <v>0</v>
      </c>
      <c r="D43" s="104" t="n">
        <v>0</v>
      </c>
      <c r="E43" s="104" t="n">
        <v>0</v>
      </c>
      <c r="F43" s="104" t="n">
        <v>0</v>
      </c>
      <c r="G43" s="104" t="n">
        <v>0</v>
      </c>
      <c r="H43" s="104" t="n">
        <v>0</v>
      </c>
      <c r="I43" s="104" t="n">
        <v>0</v>
      </c>
      <c r="J43" s="104" t="n">
        <v>0</v>
      </c>
      <c r="K43" s="104" t="n">
        <v>0</v>
      </c>
      <c r="L43" s="104" t="n">
        <v>0</v>
      </c>
      <c r="M43" s="104" t="n">
        <v>0</v>
      </c>
      <c r="N43" s="104" t="n">
        <v>0</v>
      </c>
      <c r="O43" s="104" t="n">
        <v>0</v>
      </c>
      <c r="P43" s="104" t="n">
        <v>0</v>
      </c>
      <c r="Q43" s="104" t="n">
        <v>0</v>
      </c>
      <c r="R43" s="104" t="n">
        <v>0</v>
      </c>
      <c r="S43" s="104" t="n">
        <v>0</v>
      </c>
      <c r="T43" s="104" t="n">
        <v>0</v>
      </c>
      <c r="U43" s="104" t="n">
        <v>0</v>
      </c>
      <c r="V43" s="104" t="n">
        <v>0</v>
      </c>
      <c r="W43" s="104" t="n">
        <v>0</v>
      </c>
      <c r="X43" s="104" t="n">
        <v>0</v>
      </c>
      <c r="Y43" s="104" t="n">
        <v>0</v>
      </c>
      <c r="Z43" s="104" t="n">
        <v>0</v>
      </c>
      <c r="AA43" s="104" t="n">
        <v>0</v>
      </c>
      <c r="AB43" s="104" t="n">
        <v>0</v>
      </c>
      <c r="AC43" s="104" t="n">
        <v>0</v>
      </c>
      <c r="AD43" s="104" t="n">
        <v>0</v>
      </c>
      <c r="AE43" s="104" t="n">
        <v>0</v>
      </c>
      <c r="AF43" s="104" t="n">
        <v>0</v>
      </c>
      <c r="AG43" s="104" t="n">
        <v>0</v>
      </c>
      <c r="AH43" s="104" t="n">
        <v>0</v>
      </c>
      <c r="AI43">
        <f>IF(B43&lt;&gt;"", SUMIF(C43:AH43, 1), "")</f>
        <v/>
      </c>
      <c r="AJ43">
        <f>IF(B43&lt;&gt;"", AI43/32, "")</f>
        <v/>
      </c>
      <c r="AK43">
        <f>IF(B43="", "", IF(AJ43&gt;0.2, "Pérdida por Faltas", "Regular"))</f>
        <v/>
      </c>
    </row>
    <row r="44">
      <c r="A44">
        <f>IF(Base_Notas!A44&lt;&gt;"", Base_Notas!A44, "")</f>
        <v/>
      </c>
      <c r="B44">
        <f>IF(Base_Notas!B44&lt;&gt;"", Base_Notas!B44, "")</f>
        <v/>
      </c>
      <c r="C44" s="104" t="n">
        <v>0</v>
      </c>
      <c r="D44" s="104" t="n">
        <v>0</v>
      </c>
      <c r="E44" s="104" t="n">
        <v>0</v>
      </c>
      <c r="F44" s="104" t="n">
        <v>0</v>
      </c>
      <c r="G44" s="104" t="n">
        <v>0</v>
      </c>
      <c r="H44" s="104" t="n">
        <v>0</v>
      </c>
      <c r="I44" s="104" t="n">
        <v>0</v>
      </c>
      <c r="J44" s="104" t="n">
        <v>0</v>
      </c>
      <c r="K44" s="104" t="n">
        <v>0</v>
      </c>
      <c r="L44" s="104" t="n">
        <v>0</v>
      </c>
      <c r="M44" s="104" t="n">
        <v>0</v>
      </c>
      <c r="N44" s="104" t="n">
        <v>0</v>
      </c>
      <c r="O44" s="104" t="n">
        <v>0</v>
      </c>
      <c r="P44" s="104" t="n">
        <v>0</v>
      </c>
      <c r="Q44" s="104" t="n">
        <v>0</v>
      </c>
      <c r="R44" s="104" t="n">
        <v>0</v>
      </c>
      <c r="S44" s="104" t="n">
        <v>0</v>
      </c>
      <c r="T44" s="104" t="n">
        <v>0</v>
      </c>
      <c r="U44" s="104" t="n">
        <v>0</v>
      </c>
      <c r="V44" s="104" t="n">
        <v>0</v>
      </c>
      <c r="W44" s="104" t="n">
        <v>0</v>
      </c>
      <c r="X44" s="104" t="n">
        <v>0</v>
      </c>
      <c r="Y44" s="104" t="n">
        <v>0</v>
      </c>
      <c r="Z44" s="104" t="n">
        <v>0</v>
      </c>
      <c r="AA44" s="104" t="n">
        <v>0</v>
      </c>
      <c r="AB44" s="104" t="n">
        <v>0</v>
      </c>
      <c r="AC44" s="104" t="n">
        <v>0</v>
      </c>
      <c r="AD44" s="104" t="n">
        <v>0</v>
      </c>
      <c r="AE44" s="104" t="n">
        <v>0</v>
      </c>
      <c r="AF44" s="104" t="n">
        <v>0</v>
      </c>
      <c r="AG44" s="104" t="n">
        <v>0</v>
      </c>
      <c r="AH44" s="104" t="n">
        <v>0</v>
      </c>
      <c r="AI44">
        <f>IF(B44&lt;&gt;"", SUMIF(C44:AH44, 1), "")</f>
        <v/>
      </c>
      <c r="AJ44">
        <f>IF(B44&lt;&gt;"", AI44/32, "")</f>
        <v/>
      </c>
      <c r="AK44">
        <f>IF(B44="", "", IF(AJ44&gt;0.2, "Pérdida por Faltas", "Regular"))</f>
        <v/>
      </c>
    </row>
    <row r="45">
      <c r="A45">
        <f>IF(Base_Notas!A45&lt;&gt;"", Base_Notas!A45, "")</f>
        <v/>
      </c>
      <c r="B45">
        <f>IF(Base_Notas!B45&lt;&gt;"", Base_Notas!B45, "")</f>
        <v/>
      </c>
      <c r="AI45">
        <f>IF(B45&lt;&gt;"", SUMIF(C45:AH45, 1), "")</f>
        <v/>
      </c>
      <c r="AJ45">
        <f>IF(B45&lt;&gt;"", AI45/32, "")</f>
        <v/>
      </c>
      <c r="AK45">
        <f>IF(B45="", "", IF(AJ45&gt;0.2, "Pérdida por Faltas", "Regular"))</f>
        <v/>
      </c>
    </row>
    <row r="46">
      <c r="A46">
        <f>IF(Base_Notas!A46&lt;&gt;"", Base_Notas!A46, "")</f>
        <v/>
      </c>
      <c r="B46">
        <f>IF(Base_Notas!B46&lt;&gt;"", Base_Notas!B46, "")</f>
        <v/>
      </c>
      <c r="AI46">
        <f>IF(B46&lt;&gt;"", SUMIF(C46:AH46, 1), "")</f>
        <v/>
      </c>
      <c r="AJ46">
        <f>IF(B46&lt;&gt;"", AI46/32, "")</f>
        <v/>
      </c>
      <c r="AK46">
        <f>IF(B46="", "", IF(AJ46&gt;0.2, "Pérdida por Faltas", "Regular"))</f>
        <v/>
      </c>
    </row>
    <row r="47">
      <c r="A47">
        <f>IF(Base_Notas!A47&lt;&gt;"", Base_Notas!A47, "")</f>
        <v/>
      </c>
      <c r="B47">
        <f>IF(Base_Notas!B47&lt;&gt;"", Base_Notas!B47, "")</f>
        <v/>
      </c>
      <c r="AI47">
        <f>IF(B47&lt;&gt;"", SUMIF(C47:AH47, 1), "")</f>
        <v/>
      </c>
      <c r="AJ47">
        <f>IF(B47&lt;&gt;"", AI47/32, "")</f>
        <v/>
      </c>
      <c r="AK47">
        <f>IF(B47="", "", IF(AJ47&gt;0.2, "Pérdida por Faltas", "Regular"))</f>
        <v/>
      </c>
    </row>
    <row r="48">
      <c r="A48">
        <f>IF(Base_Notas!A48&lt;&gt;"", Base_Notas!A48, "")</f>
        <v/>
      </c>
      <c r="B48">
        <f>IF(Base_Notas!B48&lt;&gt;"", Base_Notas!B48, "")</f>
        <v/>
      </c>
      <c r="AI48">
        <f>IF(B48&lt;&gt;"", SUMIF(C48:AH48, 1), "")</f>
        <v/>
      </c>
      <c r="AJ48">
        <f>IF(B48&lt;&gt;"", AI48/32, "")</f>
        <v/>
      </c>
      <c r="AK48">
        <f>IF(B48="", "", IF(AJ48&gt;0.2, "Pérdida por Faltas", "Regular"))</f>
        <v/>
      </c>
    </row>
    <row r="49">
      <c r="A49">
        <f>IF(Base_Notas!A49&lt;&gt;"", Base_Notas!A49, "")</f>
        <v/>
      </c>
      <c r="B49">
        <f>IF(Base_Notas!B49&lt;&gt;"", Base_Notas!B49, "")</f>
        <v/>
      </c>
      <c r="AI49">
        <f>IF(B49&lt;&gt;"", SUMIF(C49:AH49, 1), "")</f>
        <v/>
      </c>
      <c r="AJ49">
        <f>IF(B49&lt;&gt;"", AI49/32, "")</f>
        <v/>
      </c>
      <c r="AK49">
        <f>IF(B49="", "", IF(AJ49&gt;0.2, "Pérdida por Faltas", "Regular"))</f>
        <v/>
      </c>
    </row>
    <row r="50">
      <c r="A50">
        <f>IF(Base_Notas!A50&lt;&gt;"", Base_Notas!A50, "")</f>
        <v/>
      </c>
      <c r="B50">
        <f>IF(Base_Notas!B50&lt;&gt;"", Base_Notas!B50, "")</f>
        <v/>
      </c>
      <c r="AI50">
        <f>IF(B50&lt;&gt;"", SUMIF(C50:AH50, 1), "")</f>
        <v/>
      </c>
      <c r="AJ50">
        <f>IF(B50&lt;&gt;"", AI50/32, "")</f>
        <v/>
      </c>
      <c r="AK50">
        <f>IF(B50="", "", IF(AJ50&gt;0.2, "Pérdida por Faltas", "Regular"))</f>
        <v/>
      </c>
    </row>
    <row r="51">
      <c r="A51">
        <f>IF(Base_Notas!A51&lt;&gt;"", Base_Notas!A51, "")</f>
        <v/>
      </c>
      <c r="B51">
        <f>IF(Base_Notas!B51&lt;&gt;"", Base_Notas!B51, "")</f>
        <v/>
      </c>
      <c r="AI51">
        <f>IF(B51&lt;&gt;"", SUMIF(C51:AH51, 1), "")</f>
        <v/>
      </c>
      <c r="AJ51">
        <f>IF(B51&lt;&gt;"", AI51/32, "")</f>
        <v/>
      </c>
      <c r="AK51">
        <f>IF(B51="", "", IF(AJ51&gt;0.2, "Pérdida por Faltas", "Regular"))</f>
        <v/>
      </c>
    </row>
    <row r="52">
      <c r="A52">
        <f>IF(Base_Notas!A52&lt;&gt;"", Base_Notas!A52, "")</f>
        <v/>
      </c>
      <c r="B52">
        <f>IF(Base_Notas!B52&lt;&gt;"", Base_Notas!B52, "")</f>
        <v/>
      </c>
      <c r="AI52">
        <f>IF(B52&lt;&gt;"", SUMIF(C52:AH52, 1), "")</f>
        <v/>
      </c>
      <c r="AJ52">
        <f>IF(B52&lt;&gt;"", AI52/32, "")</f>
        <v/>
      </c>
      <c r="AK52">
        <f>IF(B52="", "", IF(AJ52&gt;0.2, "Pérdida por Faltas", "Regular"))</f>
        <v/>
      </c>
    </row>
    <row r="53">
      <c r="A53">
        <f>IF(Base_Notas!A53&lt;&gt;"", Base_Notas!A53, "")</f>
        <v/>
      </c>
      <c r="B53">
        <f>IF(Base_Notas!B53&lt;&gt;"", Base_Notas!B53, "")</f>
        <v/>
      </c>
      <c r="AI53">
        <f>IF(B53&lt;&gt;"", SUMIF(C53:AH53, 1), "")</f>
        <v/>
      </c>
      <c r="AJ53">
        <f>IF(B53&lt;&gt;"", AI53/32, "")</f>
        <v/>
      </c>
      <c r="AK53">
        <f>IF(B53="", "", IF(AJ53&gt;0.2, "Pérdida por Faltas", "Regular"))</f>
        <v/>
      </c>
    </row>
    <row r="54">
      <c r="A54">
        <f>IF(Base_Notas!A54&lt;&gt;"", Base_Notas!A54, "")</f>
        <v/>
      </c>
      <c r="B54">
        <f>IF(Base_Notas!B54&lt;&gt;"", Base_Notas!B54, "")</f>
        <v/>
      </c>
      <c r="AI54">
        <f>IF(B54&lt;&gt;"", SUMIF(C54:AH54, 1), "")</f>
        <v/>
      </c>
      <c r="AJ54">
        <f>IF(B54&lt;&gt;"", AI54/32, "")</f>
        <v/>
      </c>
      <c r="AK54">
        <f>IF(B54="", "", IF(AJ54&gt;0.2, "Pérdida por Faltas", "Regular"))</f>
        <v/>
      </c>
    </row>
    <row r="55">
      <c r="A55">
        <f>IF(Base_Notas!A55&lt;&gt;"", Base_Notas!A55, "")</f>
        <v/>
      </c>
      <c r="B55">
        <f>IF(Base_Notas!B55&lt;&gt;"", Base_Notas!B55, "")</f>
        <v/>
      </c>
      <c r="AI55">
        <f>IF(B55&lt;&gt;"", SUMIF(C55:AH55, 1), "")</f>
        <v/>
      </c>
      <c r="AJ55">
        <f>IF(B55&lt;&gt;"", AI55/32, "")</f>
        <v/>
      </c>
      <c r="AK55">
        <f>IF(B55="", "", IF(AJ55&gt;0.2, "Pérdida por Faltas", "Regular"))</f>
        <v/>
      </c>
    </row>
    <row r="56">
      <c r="A56">
        <f>IF(Base_Notas!A56&lt;&gt;"", Base_Notas!A56, "")</f>
        <v/>
      </c>
      <c r="B56">
        <f>IF(Base_Notas!B56&lt;&gt;"", Base_Notas!B56, "")</f>
        <v/>
      </c>
      <c r="AI56">
        <f>IF(B56&lt;&gt;"", SUMIF(C56:AH56, 1), "")</f>
        <v/>
      </c>
      <c r="AJ56">
        <f>IF(B56&lt;&gt;"", AI56/32, "")</f>
        <v/>
      </c>
      <c r="AK56">
        <f>IF(B56="", "", IF(AJ56&gt;0.2, "Pérdida por Faltas", "Regular"))</f>
        <v/>
      </c>
    </row>
    <row r="57">
      <c r="A57">
        <f>IF(Base_Notas!A57&lt;&gt;"", Base_Notas!A57, "")</f>
        <v/>
      </c>
      <c r="B57">
        <f>IF(Base_Notas!B57&lt;&gt;"", Base_Notas!B57, "")</f>
        <v/>
      </c>
      <c r="AI57">
        <f>IF(B57&lt;&gt;"", SUMIF(C57:AH57, 1), "")</f>
        <v/>
      </c>
      <c r="AJ57">
        <f>IF(B57&lt;&gt;"", AI57/32, "")</f>
        <v/>
      </c>
      <c r="AK57">
        <f>IF(B57="", "", IF(AJ57&gt;0.2, "Pérdida por Faltas", "Regular"))</f>
        <v/>
      </c>
    </row>
    <row r="58">
      <c r="A58">
        <f>IF(Base_Notas!A58&lt;&gt;"", Base_Notas!A58, "")</f>
        <v/>
      </c>
      <c r="B58">
        <f>IF(Base_Notas!B58&lt;&gt;"", Base_Notas!B58, "")</f>
        <v/>
      </c>
      <c r="AI58">
        <f>IF(B58&lt;&gt;"", SUMIF(C58:AH58, 1), "")</f>
        <v/>
      </c>
      <c r="AJ58">
        <f>IF(B58&lt;&gt;"", AI58/32, "")</f>
        <v/>
      </c>
      <c r="AK58">
        <f>IF(B58="", "", IF(AJ58&gt;0.2, "Pérdida por Faltas", "Regular"))</f>
        <v/>
      </c>
    </row>
    <row r="59">
      <c r="A59">
        <f>IF(Base_Notas!A59&lt;&gt;"", Base_Notas!A59, "")</f>
        <v/>
      </c>
      <c r="B59">
        <f>IF(Base_Notas!B59&lt;&gt;"", Base_Notas!B59, "")</f>
        <v/>
      </c>
      <c r="AI59">
        <f>IF(B59&lt;&gt;"", SUMIF(C59:AH59, 1), "")</f>
        <v/>
      </c>
      <c r="AJ59">
        <f>IF(B59&lt;&gt;"", AI59/32, "")</f>
        <v/>
      </c>
      <c r="AK59">
        <f>IF(B59="", "", IF(AJ59&gt;0.2, "Pérdida por Faltas", "Regular"))</f>
        <v/>
      </c>
    </row>
    <row r="60">
      <c r="A60">
        <f>IF(Base_Notas!A60&lt;&gt;"", Base_Notas!A60, "")</f>
        <v/>
      </c>
      <c r="B60">
        <f>IF(Base_Notas!B60&lt;&gt;"", Base_Notas!B60, "")</f>
        <v/>
      </c>
      <c r="AI60">
        <f>IF(B60&lt;&gt;"", SUMIF(C60:AH60, 1), "")</f>
        <v/>
      </c>
      <c r="AJ60">
        <f>IF(B60&lt;&gt;"", AI60/32, "")</f>
        <v/>
      </c>
      <c r="AK60">
        <f>IF(B60="", "", IF(AJ60&gt;0.2, "Pérdida por Faltas", "Regular"))</f>
        <v/>
      </c>
    </row>
    <row r="61">
      <c r="A61">
        <f>IF(Base_Notas!A61&lt;&gt;"", Base_Notas!A61, "")</f>
        <v/>
      </c>
      <c r="B61">
        <f>IF(Base_Notas!B61&lt;&gt;"", Base_Notas!B61, "")</f>
        <v/>
      </c>
      <c r="AI61">
        <f>IF(B61&lt;&gt;"", SUMIF(C61:AH61, 1), "")</f>
        <v/>
      </c>
      <c r="AJ61">
        <f>IF(B61&lt;&gt;"", AI61/32, "")</f>
        <v/>
      </c>
      <c r="AK61">
        <f>IF(B61="", "", IF(AJ61&gt;0.2, "Pérdida por Faltas", "Regular"))</f>
        <v/>
      </c>
    </row>
    <row r="62">
      <c r="A62">
        <f>IF(Base_Notas!A62&lt;&gt;"", Base_Notas!A62, "")</f>
        <v/>
      </c>
      <c r="B62">
        <f>IF(Base_Notas!B62&lt;&gt;"", Base_Notas!B62, "")</f>
        <v/>
      </c>
      <c r="AI62">
        <f>IF(B62&lt;&gt;"", SUMIF(C62:AH62, 1), "")</f>
        <v/>
      </c>
      <c r="AJ62">
        <f>IF(B62&lt;&gt;"", AI62/32, "")</f>
        <v/>
      </c>
      <c r="AK62">
        <f>IF(B62="", "", IF(AJ62&gt;0.2, "Pérdida por Faltas", "Regular"))</f>
        <v/>
      </c>
    </row>
    <row r="63">
      <c r="A63">
        <f>IF(Base_Notas!A63&lt;&gt;"", Base_Notas!A63, "")</f>
        <v/>
      </c>
      <c r="B63">
        <f>IF(Base_Notas!B63&lt;&gt;"", Base_Notas!B63, "")</f>
        <v/>
      </c>
      <c r="AI63">
        <f>IF(B63&lt;&gt;"", SUMIF(C63:AH63, 1), "")</f>
        <v/>
      </c>
      <c r="AJ63">
        <f>IF(B63&lt;&gt;"", AI63/32, "")</f>
        <v/>
      </c>
      <c r="AK63">
        <f>IF(B63="", "", IF(AJ63&gt;0.2, "Pérdida por Faltas", "Regular"))</f>
        <v/>
      </c>
    </row>
    <row r="64">
      <c r="A64">
        <f>IF(Base_Notas!A64&lt;&gt;"", Base_Notas!A64, "")</f>
        <v/>
      </c>
      <c r="B64">
        <f>IF(Base_Notas!B64&lt;&gt;"", Base_Notas!B64, "")</f>
        <v/>
      </c>
      <c r="AI64">
        <f>IF(B64&lt;&gt;"", SUMIF(C64:AH64, 1), "")</f>
        <v/>
      </c>
      <c r="AJ64">
        <f>IF(B64&lt;&gt;"", AI64/32, "")</f>
        <v/>
      </c>
      <c r="AK64">
        <f>IF(B64="", "", IF(AJ64&gt;0.2, "Pérdida por Faltas", "Regular"))</f>
        <v/>
      </c>
    </row>
    <row r="65">
      <c r="A65">
        <f>IF(Base_Notas!A65&lt;&gt;"", Base_Notas!A65, "")</f>
        <v/>
      </c>
      <c r="B65">
        <f>IF(Base_Notas!B65&lt;&gt;"", Base_Notas!B65, "")</f>
        <v/>
      </c>
      <c r="AI65">
        <f>IF(B65&lt;&gt;"", SUMIF(C65:AH65, 1), "")</f>
        <v/>
      </c>
      <c r="AJ65">
        <f>IF(B65&lt;&gt;"", AI65/32, "")</f>
        <v/>
      </c>
      <c r="AK65">
        <f>IF(B65="", "", IF(AJ65&gt;0.2, "Pérdida por Faltas", "Regular"))</f>
        <v/>
      </c>
    </row>
    <row r="66">
      <c r="A66">
        <f>IF(Base_Notas!A66&lt;&gt;"", Base_Notas!A66, "")</f>
        <v/>
      </c>
      <c r="B66">
        <f>IF(Base_Notas!B66&lt;&gt;"", Base_Notas!B66, "")</f>
        <v/>
      </c>
      <c r="AI66">
        <f>IF(B66&lt;&gt;"", SUMIF(C66:AH66, 1), "")</f>
        <v/>
      </c>
      <c r="AJ66">
        <f>IF(B66&lt;&gt;"", AI66/32, "")</f>
        <v/>
      </c>
      <c r="AK66">
        <f>IF(B66="", "", IF(AJ66&gt;0.2, "Pérdida por Faltas", "Regular"))</f>
        <v/>
      </c>
    </row>
    <row r="67">
      <c r="A67">
        <f>IF(Base_Notas!A67&lt;&gt;"", Base_Notas!A67, "")</f>
        <v/>
      </c>
      <c r="B67">
        <f>IF(Base_Notas!B67&lt;&gt;"", Base_Notas!B67, "")</f>
        <v/>
      </c>
      <c r="AI67">
        <f>IF(B67&lt;&gt;"", SUMIF(C67:AH67, 1), "")</f>
        <v/>
      </c>
      <c r="AJ67">
        <f>IF(B67&lt;&gt;"", AI67/32, "")</f>
        <v/>
      </c>
      <c r="AK67">
        <f>IF(B67="", "", IF(AJ67&gt;0.2, "Pérdida por Faltas", "Regular"))</f>
        <v/>
      </c>
    </row>
    <row r="68">
      <c r="A68">
        <f>IF(Base_Notas!A68&lt;&gt;"", Base_Notas!A68, "")</f>
        <v/>
      </c>
      <c r="B68">
        <f>IF(Base_Notas!B68&lt;&gt;"", Base_Notas!B68, "")</f>
        <v/>
      </c>
      <c r="AI68">
        <f>IF(B68&lt;&gt;"", SUMIF(C68:AH68, 1), "")</f>
        <v/>
      </c>
      <c r="AJ68">
        <f>IF(B68&lt;&gt;"", AI68/32, "")</f>
        <v/>
      </c>
      <c r="AK68">
        <f>IF(B68="", "", IF(AJ68&gt;0.2, "Pérdida por Faltas", "Regular"))</f>
        <v/>
      </c>
    </row>
    <row r="69">
      <c r="A69">
        <f>IF(Base_Notas!A69&lt;&gt;"", Base_Notas!A69, "")</f>
        <v/>
      </c>
      <c r="B69">
        <f>IF(Base_Notas!B69&lt;&gt;"", Base_Notas!B69, "")</f>
        <v/>
      </c>
      <c r="AI69">
        <f>IF(B69&lt;&gt;"", SUMIF(C69:AH69, 1), "")</f>
        <v/>
      </c>
      <c r="AJ69">
        <f>IF(B69&lt;&gt;"", AI69/32, "")</f>
        <v/>
      </c>
      <c r="AK69">
        <f>IF(B69="", "", IF(AJ69&gt;0.2, "Pérdida por Faltas", "Regular"))</f>
        <v/>
      </c>
    </row>
    <row r="70">
      <c r="A70">
        <f>IF(Base_Notas!A70&lt;&gt;"", Base_Notas!A70, "")</f>
        <v/>
      </c>
      <c r="B70">
        <f>IF(Base_Notas!B70&lt;&gt;"", Base_Notas!B70, "")</f>
        <v/>
      </c>
      <c r="AI70">
        <f>IF(B70&lt;&gt;"", SUMIF(C70:AH70, 1), "")</f>
        <v/>
      </c>
      <c r="AJ70">
        <f>IF(B70&lt;&gt;"", AI70/32, "")</f>
        <v/>
      </c>
      <c r="AK70">
        <f>IF(B70="", "", IF(AJ70&gt;0.2, "Pérdida por Faltas", "Regular"))</f>
        <v/>
      </c>
    </row>
    <row r="71">
      <c r="A71">
        <f>IF(Base_Notas!A71&lt;&gt;"", Base_Notas!A71, "")</f>
        <v/>
      </c>
      <c r="B71">
        <f>IF(Base_Notas!B71&lt;&gt;"", Base_Notas!B71, "")</f>
        <v/>
      </c>
      <c r="AI71">
        <f>IF(B71&lt;&gt;"", SUMIF(C71:AH71, 1), "")</f>
        <v/>
      </c>
      <c r="AJ71">
        <f>IF(B71&lt;&gt;"", AI71/32, "")</f>
        <v/>
      </c>
      <c r="AK71">
        <f>IF(B71="", "", IF(AJ71&gt;0.2, "Pérdida por Faltas", "Regular"))</f>
        <v/>
      </c>
    </row>
    <row r="72">
      <c r="A72">
        <f>IF(Base_Notas!A72&lt;&gt;"", Base_Notas!A72, "")</f>
        <v/>
      </c>
      <c r="B72">
        <f>IF(Base_Notas!B72&lt;&gt;"", Base_Notas!B72, "")</f>
        <v/>
      </c>
      <c r="AI72">
        <f>IF(B72&lt;&gt;"", SUMIF(C72:AH72, 1), "")</f>
        <v/>
      </c>
      <c r="AJ72">
        <f>IF(B72&lt;&gt;"", AI72/32, "")</f>
        <v/>
      </c>
      <c r="AK72">
        <f>IF(B72="", "", IF(AJ72&gt;0.2, "Pérdida por Faltas", "Regular"))</f>
        <v/>
      </c>
    </row>
    <row r="73">
      <c r="A73">
        <f>IF(Base_Notas!A73&lt;&gt;"", Base_Notas!A73, "")</f>
        <v/>
      </c>
      <c r="B73">
        <f>IF(Base_Notas!B73&lt;&gt;"", Base_Notas!B73, "")</f>
        <v/>
      </c>
      <c r="AI73">
        <f>IF(B73&lt;&gt;"", SUMIF(C73:AH73, 1), "")</f>
        <v/>
      </c>
      <c r="AJ73">
        <f>IF(B73&lt;&gt;"", AI73/32, "")</f>
        <v/>
      </c>
      <c r="AK73">
        <f>IF(B73="", "", IF(AJ73&gt;0.2, "Pérdida por Faltas", "Regular"))</f>
        <v/>
      </c>
    </row>
    <row r="74">
      <c r="A74">
        <f>IF(Base_Notas!A74&lt;&gt;"", Base_Notas!A74, "")</f>
        <v/>
      </c>
      <c r="B74">
        <f>IF(Base_Notas!B74&lt;&gt;"", Base_Notas!B74, "")</f>
        <v/>
      </c>
      <c r="AI74">
        <f>IF(B74&lt;&gt;"", SUMIF(C74:AH74, 1), "")</f>
        <v/>
      </c>
      <c r="AJ74">
        <f>IF(B74&lt;&gt;"", AI74/32, "")</f>
        <v/>
      </c>
      <c r="AK74">
        <f>IF(B74="", "", IF(AJ74&gt;0.2, "Pérdida por Faltas", "Regular"))</f>
        <v/>
      </c>
    </row>
    <row r="75">
      <c r="A75">
        <f>IF(Base_Notas!A75&lt;&gt;"", Base_Notas!A75, "")</f>
        <v/>
      </c>
      <c r="B75">
        <f>IF(Base_Notas!B75&lt;&gt;"", Base_Notas!B75, "")</f>
        <v/>
      </c>
      <c r="AI75">
        <f>IF(B75&lt;&gt;"", SUMIF(C75:AH75, 1), "")</f>
        <v/>
      </c>
      <c r="AJ75">
        <f>IF(B75&lt;&gt;"", AI75/32, "")</f>
        <v/>
      </c>
      <c r="AK75">
        <f>IF(B75="", "", IF(AJ75&gt;0.2, "Pérdida por Faltas", "Regular"))</f>
        <v/>
      </c>
    </row>
    <row r="76">
      <c r="A76">
        <f>IF(Base_Notas!A76&lt;&gt;"", Base_Notas!A76, "")</f>
        <v/>
      </c>
      <c r="B76">
        <f>IF(Base_Notas!B76&lt;&gt;"", Base_Notas!B76, "")</f>
        <v/>
      </c>
      <c r="AI76">
        <f>IF(B76&lt;&gt;"", SUMIF(C76:AH76, 1), "")</f>
        <v/>
      </c>
      <c r="AJ76">
        <f>IF(B76&lt;&gt;"", AI76/32, "")</f>
        <v/>
      </c>
      <c r="AK76">
        <f>IF(B76="", "", IF(AJ76&gt;0.2, "Pérdida por Faltas", "Regular"))</f>
        <v/>
      </c>
    </row>
    <row r="77">
      <c r="A77">
        <f>IF(Base_Notas!A77&lt;&gt;"", Base_Notas!A77, "")</f>
        <v/>
      </c>
      <c r="B77">
        <f>IF(Base_Notas!B77&lt;&gt;"", Base_Notas!B77, "")</f>
        <v/>
      </c>
      <c r="AI77">
        <f>IF(B77&lt;&gt;"", SUMIF(C77:AH77, 1), "")</f>
        <v/>
      </c>
      <c r="AJ77">
        <f>IF(B77&lt;&gt;"", AI77/32, "")</f>
        <v/>
      </c>
      <c r="AK77">
        <f>IF(B77="", "", IF(AJ77&gt;0.2, "Pérdida por Faltas", "Regular"))</f>
        <v/>
      </c>
    </row>
    <row r="78">
      <c r="A78">
        <f>IF(Base_Notas!A78&lt;&gt;"", Base_Notas!A78, "")</f>
        <v/>
      </c>
      <c r="B78">
        <f>IF(Base_Notas!B78&lt;&gt;"", Base_Notas!B78, "")</f>
        <v/>
      </c>
      <c r="AI78">
        <f>IF(B78&lt;&gt;"", SUMIF(C78:AH78, 1), "")</f>
        <v/>
      </c>
      <c r="AJ78">
        <f>IF(B78&lt;&gt;"", AI78/32, "")</f>
        <v/>
      </c>
      <c r="AK78">
        <f>IF(B78="", "", IF(AJ78&gt;0.2, "Pérdida por Faltas", "Regular"))</f>
        <v/>
      </c>
    </row>
    <row r="79">
      <c r="A79">
        <f>IF(Base_Notas!A79&lt;&gt;"", Base_Notas!A79, "")</f>
        <v/>
      </c>
      <c r="B79">
        <f>IF(Base_Notas!B79&lt;&gt;"", Base_Notas!B79, "")</f>
        <v/>
      </c>
      <c r="AI79">
        <f>IF(B79&lt;&gt;"", SUMIF(C79:AH79, 1), "")</f>
        <v/>
      </c>
      <c r="AJ79">
        <f>IF(B79&lt;&gt;"", AI79/32, "")</f>
        <v/>
      </c>
      <c r="AK79">
        <f>IF(B79="", "", IF(AJ79&gt;0.2, "Pérdida por Faltas", "Regular"))</f>
        <v/>
      </c>
    </row>
    <row r="80">
      <c r="A80">
        <f>IF(Base_Notas!A80&lt;&gt;"", Base_Notas!A80, "")</f>
        <v/>
      </c>
      <c r="B80">
        <f>IF(Base_Notas!B80&lt;&gt;"", Base_Notas!B80, "")</f>
        <v/>
      </c>
      <c r="AI80">
        <f>IF(B80&lt;&gt;"", SUMIF(C80:AH80, 1), "")</f>
        <v/>
      </c>
      <c r="AJ80">
        <f>IF(B80&lt;&gt;"", AI80/32, "")</f>
        <v/>
      </c>
      <c r="AK80">
        <f>IF(B80="", "", IF(AJ80&gt;0.2, "Pérdida por Faltas", "Regular"))</f>
        <v/>
      </c>
    </row>
    <row r="81">
      <c r="A81">
        <f>IF(Base_Notas!A81&lt;&gt;"", Base_Notas!A81, "")</f>
        <v/>
      </c>
      <c r="B81">
        <f>IF(Base_Notas!B81&lt;&gt;"", Base_Notas!B81, "")</f>
        <v/>
      </c>
      <c r="AI81">
        <f>IF(B81&lt;&gt;"", SUMIF(C81:AH81, 1), "")</f>
        <v/>
      </c>
      <c r="AJ81">
        <f>IF(B81&lt;&gt;"", AI81/32, "")</f>
        <v/>
      </c>
      <c r="AK81">
        <f>IF(B81="", "", IF(AJ81&gt;0.2, "Pérdida por Faltas", "Regular"))</f>
        <v/>
      </c>
    </row>
    <row r="82">
      <c r="A82">
        <f>IF(Base_Notas!A82&lt;&gt;"", Base_Notas!A82, "")</f>
        <v/>
      </c>
      <c r="B82">
        <f>IF(Base_Notas!B82&lt;&gt;"", Base_Notas!B82, "")</f>
        <v/>
      </c>
      <c r="AI82">
        <f>IF(B82&lt;&gt;"", SUMIF(C82:AH82, 1), "")</f>
        <v/>
      </c>
      <c r="AJ82">
        <f>IF(B82&lt;&gt;"", AI82/32, "")</f>
        <v/>
      </c>
      <c r="AK82">
        <f>IF(B82="", "", IF(AJ82&gt;0.2, "Pérdida por Faltas", "Regular"))</f>
        <v/>
      </c>
    </row>
    <row r="83">
      <c r="A83">
        <f>IF(Base_Notas!A83&lt;&gt;"", Base_Notas!A83, "")</f>
        <v/>
      </c>
      <c r="B83">
        <f>IF(Base_Notas!B83&lt;&gt;"", Base_Notas!B83, "")</f>
        <v/>
      </c>
      <c r="AI83">
        <f>IF(B83&lt;&gt;"", SUMIF(C83:AH83, 1), "")</f>
        <v/>
      </c>
      <c r="AJ83">
        <f>IF(B83&lt;&gt;"", AI83/32, "")</f>
        <v/>
      </c>
      <c r="AK83">
        <f>IF(B83="", "", IF(AJ83&gt;0.2, "Pérdida por Faltas", "Regular"))</f>
        <v/>
      </c>
    </row>
    <row r="84">
      <c r="A84">
        <f>IF(Base_Notas!A84&lt;&gt;"", Base_Notas!A84, "")</f>
        <v/>
      </c>
      <c r="B84">
        <f>IF(Base_Notas!B84&lt;&gt;"", Base_Notas!B84, "")</f>
        <v/>
      </c>
      <c r="AI84">
        <f>IF(B84&lt;&gt;"", SUMIF(C84:AH84, 1), "")</f>
        <v/>
      </c>
      <c r="AJ84">
        <f>IF(B84&lt;&gt;"", AI84/32, "")</f>
        <v/>
      </c>
      <c r="AK84">
        <f>IF(B84="", "", IF(AJ84&gt;0.2, "Pérdida por Faltas", "Regular"))</f>
        <v/>
      </c>
    </row>
    <row r="85">
      <c r="A85">
        <f>IF(Base_Notas!A85&lt;&gt;"", Base_Notas!A85, "")</f>
        <v/>
      </c>
      <c r="B85">
        <f>IF(Base_Notas!B85&lt;&gt;"", Base_Notas!B85, "")</f>
        <v/>
      </c>
      <c r="AI85">
        <f>IF(B85&lt;&gt;"", SUMIF(C85:AH85, 1), "")</f>
        <v/>
      </c>
      <c r="AJ85">
        <f>IF(B85&lt;&gt;"", AI85/32, "")</f>
        <v/>
      </c>
      <c r="AK85">
        <f>IF(B85="", "", IF(AJ85&gt;0.2, "Pérdida por Faltas", "Regular"))</f>
        <v/>
      </c>
    </row>
    <row r="86">
      <c r="A86">
        <f>IF(Base_Notas!A86&lt;&gt;"", Base_Notas!A86, "")</f>
        <v/>
      </c>
      <c r="B86">
        <f>IF(Base_Notas!B86&lt;&gt;"", Base_Notas!B86, "")</f>
        <v/>
      </c>
      <c r="AI86">
        <f>IF(B86&lt;&gt;"", SUMIF(C86:AH86, 1), "")</f>
        <v/>
      </c>
      <c r="AJ86">
        <f>IF(B86&lt;&gt;"", AI86/32, "")</f>
        <v/>
      </c>
      <c r="AK86">
        <f>IF(B86="", "", IF(AJ86&gt;0.2, "Pérdida por Faltas", "Regular"))</f>
        <v/>
      </c>
    </row>
    <row r="87">
      <c r="A87">
        <f>IF(Base_Notas!A87&lt;&gt;"", Base_Notas!A87, "")</f>
        <v/>
      </c>
      <c r="B87">
        <f>IF(Base_Notas!B87&lt;&gt;"", Base_Notas!B87, "")</f>
        <v/>
      </c>
      <c r="AI87">
        <f>IF(B87&lt;&gt;"", SUMIF(C87:AH87, 1), "")</f>
        <v/>
      </c>
      <c r="AJ87">
        <f>IF(B87&lt;&gt;"", AI87/32, "")</f>
        <v/>
      </c>
      <c r="AK87">
        <f>IF(B87="", "", IF(AJ87&gt;0.2, "Pérdida por Faltas", "Regular"))</f>
        <v/>
      </c>
    </row>
    <row r="88">
      <c r="A88">
        <f>IF(Base_Notas!A88&lt;&gt;"", Base_Notas!A88, "")</f>
        <v/>
      </c>
      <c r="B88">
        <f>IF(Base_Notas!B88&lt;&gt;"", Base_Notas!B88, "")</f>
        <v/>
      </c>
      <c r="AI88">
        <f>IF(B88&lt;&gt;"", SUMIF(C88:AH88, 1), "")</f>
        <v/>
      </c>
      <c r="AJ88">
        <f>IF(B88&lt;&gt;"", AI88/32, "")</f>
        <v/>
      </c>
      <c r="AK88">
        <f>IF(B88="", "", IF(AJ88&gt;0.2, "Pérdida por Faltas", "Regular"))</f>
        <v/>
      </c>
    </row>
    <row r="89">
      <c r="A89">
        <f>IF(Base_Notas!A89&lt;&gt;"", Base_Notas!A89, "")</f>
        <v/>
      </c>
      <c r="B89">
        <f>IF(Base_Notas!B89&lt;&gt;"", Base_Notas!B89, "")</f>
        <v/>
      </c>
      <c r="AI89">
        <f>IF(B89&lt;&gt;"", SUMIF(C89:AH89, 1), "")</f>
        <v/>
      </c>
      <c r="AJ89">
        <f>IF(B89&lt;&gt;"", AI89/32, "")</f>
        <v/>
      </c>
      <c r="AK89">
        <f>IF(B89="", "", IF(AJ89&gt;0.2, "Pérdida por Faltas", "Regular"))</f>
        <v/>
      </c>
    </row>
    <row r="90">
      <c r="A90">
        <f>IF(Base_Notas!A90&lt;&gt;"", Base_Notas!A90, "")</f>
        <v/>
      </c>
      <c r="B90">
        <f>IF(Base_Notas!B90&lt;&gt;"", Base_Notas!B90, "")</f>
        <v/>
      </c>
      <c r="AI90">
        <f>IF(B90&lt;&gt;"", SUMIF(C90:AH90, 1), "")</f>
        <v/>
      </c>
      <c r="AJ90">
        <f>IF(B90&lt;&gt;"", AI90/32, "")</f>
        <v/>
      </c>
      <c r="AK90">
        <f>IF(B90="", "", IF(AJ90&gt;0.2, "Pérdida por Faltas", "Regular"))</f>
        <v/>
      </c>
    </row>
    <row r="91">
      <c r="A91">
        <f>IF(Base_Notas!A91&lt;&gt;"", Base_Notas!A91, "")</f>
        <v/>
      </c>
      <c r="B91">
        <f>IF(Base_Notas!B91&lt;&gt;"", Base_Notas!B91, "")</f>
        <v/>
      </c>
      <c r="AI91">
        <f>IF(B91&lt;&gt;"", SUMIF(C91:AH91, 1), "")</f>
        <v/>
      </c>
      <c r="AJ91">
        <f>IF(B91&lt;&gt;"", AI91/32, "")</f>
        <v/>
      </c>
      <c r="AK91">
        <f>IF(B91="", "", IF(AJ91&gt;0.2, "Pérdida por Faltas", "Regular"))</f>
        <v/>
      </c>
    </row>
    <row r="92">
      <c r="A92">
        <f>IF(Base_Notas!A92&lt;&gt;"", Base_Notas!A92, "")</f>
        <v/>
      </c>
      <c r="B92">
        <f>IF(Base_Notas!B92&lt;&gt;"", Base_Notas!B92, "")</f>
        <v/>
      </c>
      <c r="AI92">
        <f>IF(B92&lt;&gt;"", SUMIF(C92:AH92, 1), "")</f>
        <v/>
      </c>
      <c r="AJ92">
        <f>IF(B92&lt;&gt;"", AI92/32, "")</f>
        <v/>
      </c>
      <c r="AK92">
        <f>IF(B92="", "", IF(AJ92&gt;0.2, "Pérdida por Faltas", "Regular"))</f>
        <v/>
      </c>
    </row>
    <row r="93">
      <c r="A93">
        <f>IF(Base_Notas!A93&lt;&gt;"", Base_Notas!A93, "")</f>
        <v/>
      </c>
      <c r="B93">
        <f>IF(Base_Notas!B93&lt;&gt;"", Base_Notas!B93, "")</f>
        <v/>
      </c>
      <c r="AI93">
        <f>IF(B93&lt;&gt;"", SUMIF(C93:AH93, 1), "")</f>
        <v/>
      </c>
      <c r="AJ93">
        <f>IF(B93&lt;&gt;"", AI93/32, "")</f>
        <v/>
      </c>
      <c r="AK93">
        <f>IF(B93="", "", IF(AJ93&gt;0.2, "Pérdida por Faltas", "Regular"))</f>
        <v/>
      </c>
    </row>
    <row r="94">
      <c r="A94">
        <f>IF(Base_Notas!A94&lt;&gt;"", Base_Notas!A94, "")</f>
        <v/>
      </c>
      <c r="B94">
        <f>IF(Base_Notas!B94&lt;&gt;"", Base_Notas!B94, "")</f>
        <v/>
      </c>
      <c r="AI94">
        <f>IF(B94&lt;&gt;"", SUMIF(C94:AH94, 1), "")</f>
        <v/>
      </c>
      <c r="AJ94">
        <f>IF(B94&lt;&gt;"", AI94/32, "")</f>
        <v/>
      </c>
      <c r="AK94">
        <f>IF(B94="", "", IF(AJ94&gt;0.2, "Pérdida por Faltas", "Regular"))</f>
        <v/>
      </c>
    </row>
    <row r="95">
      <c r="A95">
        <f>IF(Base_Notas!A95&lt;&gt;"", Base_Notas!A95, "")</f>
        <v/>
      </c>
      <c r="B95">
        <f>IF(Base_Notas!B95&lt;&gt;"", Base_Notas!B95, "")</f>
        <v/>
      </c>
      <c r="AI95">
        <f>IF(B95&lt;&gt;"", SUMIF(C95:AH95, 1), "")</f>
        <v/>
      </c>
      <c r="AJ95">
        <f>IF(B95&lt;&gt;"", AI95/32, "")</f>
        <v/>
      </c>
      <c r="AK95">
        <f>IF(B95="", "", IF(AJ95&gt;0.2, "Pérdida por Faltas", "Regular"))</f>
        <v/>
      </c>
    </row>
    <row r="96">
      <c r="A96">
        <f>IF(Base_Notas!A96&lt;&gt;"", Base_Notas!A96, "")</f>
        <v/>
      </c>
      <c r="B96">
        <f>IF(Base_Notas!B96&lt;&gt;"", Base_Notas!B96, "")</f>
        <v/>
      </c>
      <c r="AI96">
        <f>IF(B96&lt;&gt;"", SUMIF(C96:AH96, 1), "")</f>
        <v/>
      </c>
      <c r="AJ96">
        <f>IF(B96&lt;&gt;"", AI96/32, "")</f>
        <v/>
      </c>
      <c r="AK96">
        <f>IF(B96="", "", IF(AJ96&gt;0.2, "Pérdida por Faltas", "Regular"))</f>
        <v/>
      </c>
    </row>
    <row r="97">
      <c r="A97">
        <f>IF(Base_Notas!A97&lt;&gt;"", Base_Notas!A97, "")</f>
        <v/>
      </c>
      <c r="B97">
        <f>IF(Base_Notas!B97&lt;&gt;"", Base_Notas!B97, "")</f>
        <v/>
      </c>
      <c r="AI97">
        <f>IF(B97&lt;&gt;"", SUMIF(C97:AH97, 1), "")</f>
        <v/>
      </c>
      <c r="AJ97">
        <f>IF(B97&lt;&gt;"", AI97/32, "")</f>
        <v/>
      </c>
      <c r="AK97">
        <f>IF(B97="", "", IF(AJ97&gt;0.2, "Pérdida por Faltas", "Regular"))</f>
        <v/>
      </c>
    </row>
    <row r="98">
      <c r="A98">
        <f>IF(Base_Notas!A98&lt;&gt;"", Base_Notas!A98, "")</f>
        <v/>
      </c>
      <c r="B98">
        <f>IF(Base_Notas!B98&lt;&gt;"", Base_Notas!B98, "")</f>
        <v/>
      </c>
      <c r="AI98">
        <f>IF(B98&lt;&gt;"", SUMIF(C98:AH98, 1), "")</f>
        <v/>
      </c>
      <c r="AJ98">
        <f>IF(B98&lt;&gt;"", AI98/32, "")</f>
        <v/>
      </c>
      <c r="AK98">
        <f>IF(B98="", "", IF(AJ98&gt;0.2, "Pérdida por Faltas", "Regular"))</f>
        <v/>
      </c>
    </row>
    <row r="99">
      <c r="A99">
        <f>IF(Base_Notas!A99&lt;&gt;"", Base_Notas!A99, "")</f>
        <v/>
      </c>
      <c r="B99">
        <f>IF(Base_Notas!B99&lt;&gt;"", Base_Notas!B99, "")</f>
        <v/>
      </c>
      <c r="AI99">
        <f>IF(B99&lt;&gt;"", SUMIF(C99:AH99, 1), "")</f>
        <v/>
      </c>
      <c r="AJ99">
        <f>IF(B99&lt;&gt;"", AI99/32, "")</f>
        <v/>
      </c>
      <c r="AK99">
        <f>IF(B99="", "", IF(AJ99&gt;0.2, "Pérdida por Faltas", "Regular"))</f>
        <v/>
      </c>
    </row>
  </sheetData>
  <conditionalFormatting sqref="AJ2:AJ12">
    <cfRule type="cellIs" priority="9" operator="greaterThan" dxfId="0">
      <formula>0.2</formula>
    </cfRule>
  </conditionalFormatting>
  <conditionalFormatting sqref="AK2:AK12">
    <cfRule type="cellIs" priority="7" operator="equal" dxfId="1">
      <formula>"Regular"</formula>
    </cfRule>
    <cfRule type="cellIs" priority="8" operator="equal" dxfId="0">
      <formula>"Pérdida por Faltas"</formula>
    </cfRule>
  </conditionalFormatting>
  <dataValidations count="1">
    <dataValidation sqref="C2 C3 C4 C5 C6 C7 C8 C9 C10 C11 C12 D2 D3 D4 D5 D6 D7 D8 D9 D10 D11 D12 E2 E3 E4 E5 E6 E7 E8 E9 E10 E11 E12 F2 F3 F4 F5 F6 F7 F8 F9 F10 F11 F12 G2 G3 G4 G5 G6 G7 G8 G9 G10 G11 G12 H2 H3 H4 H5 H6 H7 H8 H9 H10 H11 H12 I2 I3 I4 I5 I6 I7 I8 I9 I10 I11 I12 J2 J3 J4 J5 J6 J7 J8 J9 J10 J11 J12 K2 K3 K4 K5 K6 K7 K8 K9 K10 K11 K12 L2 L3 L4 L5 L6 L7 L8 L9 L10 L11 L12 M2 M3 M4 M5 M6 M7 M8 M9 M10 M11 M12 N2 N3 N4 N5 N6 N7 N8 N9 N10 N11 N12 O2 O3 O4 O5 O6 O7 O8 O9 O10 O11 O12 P2 P3 P4 P5 P6 P7 P8 P9 P10 P11 P12 Q2 Q3 Q4 Q5 Q6 Q7 Q8 Q9 Q10 Q11 Q12 R2 R3 R4 R5 R6 R7 R8 R9 R10 R11 R12 S2 S3 S4 S5 S6 S7 S8 S9 S10 S11 S12 T2 T3 T4 T5 T6 T7 T8 T9 T10 T11 T12 U2 U3 U4 U5 U6 U7 U8 U9 U10 U11 U12 V2 V3 V4 V5 V6 V7 V8 V9 V10 V11 V12 W2 W3 W4 W5 W6 W7 W8 W9 W10 W11 W12 X2 X3 X4 X5 X6 X7 X8 X9 X10 X11 X12 Y2 Y3 Y4 Y5 Y6 Y7 Y8 Y9 Y10 Y11 Y12 Z2 Z3 Z4 Z5 Z6 Z7 Z8 Z9 Z10 Z11 Z12 AA2 AA3 AA4 AA5 AA6 AA7 AA8 AA9 AA10 AA11 AA12 AB2 AB3 AB4 AB5 AB6 AB7 AB8 AB9 AB10 AB11 AB12 AC2 AC3 AC4 AC5 AC6 AC7 AC8 AC9 AC10 AC11 AC12 AD2 AD3 AD4 AD5 AD6 AD7 AD8 AD9 AD10 AD11 AD12 AE2 AE3 AE4 AE5 AE6 AE7 AE8 AE9 AE10 AE11 AE12 AF2 AF3 AF4 AF5 AF6 AF7 AF8 AF9 AF10 AF11 AF12 AG2 AG3 AG4 AG5 AG6 AG7 AG8 AG9 AG10 AG11 AG12 AH2 AH3 AH4 AH5 AH6 AH7 AH8 AH9 AH10 AH11 AH12" showDropDown="0" showInputMessage="0" showErrorMessage="0" allowBlank="0" type="list">
      <formula1>"0,1,J"</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selection activeCell="B16" sqref="B16"/>
    </sheetView>
  </sheetViews>
  <sheetFormatPr baseColWidth="10" defaultRowHeight="14.4"/>
  <cols>
    <col width="13.5546875" customWidth="1" style="2" min="1" max="1"/>
    <col width="34.21875" customWidth="1" style="1" min="2" max="2"/>
    <col width="18.88671875" customWidth="1" style="1" min="3" max="3"/>
    <col width="27.5546875" customWidth="1" style="1" min="4" max="4"/>
    <col width="47.109375" customWidth="1" style="56" min="5" max="5"/>
  </cols>
  <sheetData>
    <row r="1" ht="43.2" customHeight="1" s="56">
      <c r="B1" s="70" t="inlineStr">
        <is>
          <t>COMPETENCIAS DEL PROGRAMA</t>
        </is>
      </c>
      <c r="C1" s="70" t="inlineStr">
        <is>
          <t>COMPETENCIAS CENTRALES DEL ESPACIO ACADÉMICO</t>
        </is>
      </c>
      <c r="D1" s="70" t="inlineStr">
        <is>
          <t>RESULTADO DE APRENDIZAJE DEL ESPACIO ACADÉMICO</t>
        </is>
      </c>
      <c r="E1" s="70" t="inlineStr">
        <is>
          <t>CRITERIOS DE EVALUACIÓN</t>
        </is>
      </c>
    </row>
    <row r="2" ht="158.4" customHeight="1" s="56">
      <c r="A2" s="70" t="n">
        <v>1</v>
      </c>
      <c r="B2" s="70" t="inlineStr">
        <is>
          <t>Cp1. 
Creará proyectos de arquitectura de manera innovadora bajo un pensamiento crítico y propositivo de tal manera que satisfaga los requerimientos del ser humano, la sociedad y su contexto y el medio ambiente.</t>
        </is>
      </c>
      <c r="C2" s="70" t="inlineStr">
        <is>
          <t>* genéricas o transversales
Configura un proyecto arquitectónico integral que dialoga y aporta adecuadamente a la ciudad y a la población beneficiada</t>
        </is>
      </c>
      <c r="D2" s="70" t="inlineStr">
        <is>
          <t>RAP1.PROYECTUAL:
Al finalizar exitosamente la formación profesional, el estudiante de Arquitectura crea proyectos arquitectonicos que resuelvan los requerimientos básicos del ser humano, la sociedad y su contexto construido.</t>
        </is>
      </c>
      <c r="E2" s="4" t="inlineStr">
        <is>
          <t>Configura y crea la funcionalidad del diseño arquitectónico propuesto; evidenciado en la funcionalidad de cada una de las plantas de trabajo, en los cortes del proyecto y en las fachadas propuestas</t>
        </is>
      </c>
    </row>
    <row r="3" ht="57.6" customHeight="1" s="56">
      <c r="A3" s="71" t="n"/>
      <c r="B3" s="71" t="n"/>
      <c r="C3" s="71" t="n"/>
      <c r="D3" s="71" t="n"/>
      <c r="E3" s="4" t="inlineStr">
        <is>
          <t>Configura y crea el diseño interior de los diferentes espacios del proyecto; evidenciado en la espacialidad propuesta; materiales propuestos, y relación de los diferentes espacios</t>
        </is>
      </c>
    </row>
    <row r="4" ht="57.6" customHeight="1" s="56">
      <c r="A4" s="72" t="n"/>
      <c r="B4" s="72" t="n"/>
      <c r="C4" s="72" t="n"/>
      <c r="D4" s="72" t="n"/>
      <c r="E4" s="4" t="inlineStr">
        <is>
          <t>Maneja  los conceptos básicos de composición en arquitectura desde el concepto incial de diseño, pasando por el proceso de abstracción hasta el modelo germen de maqueta abstacta generadora de forma.</t>
        </is>
      </c>
    </row>
    <row r="5" ht="187.2" customHeight="1" s="56">
      <c r="A5" s="70" t="n">
        <v>2</v>
      </c>
      <c r="B5" s="5" t="inlineStr">
        <is>
          <t xml:space="preserve">Cp2.  
Formulará proyectos investigativos emprendedores e innovadores como parte activa de grupos de trabajo tanto en equipo como de manera autonoma en un contexto local, internacional o multidisciplianar al servicio de los nuevos paradigmas que la sociedad demanda. </t>
        </is>
      </c>
      <c r="C5" s="5" t="inlineStr">
        <is>
          <t>* específicas
Contrasta las diferentes normativas, con la realidad urbana, social y cultural del municipio y sector a intervenir, para lograr una adecuada intervención arquitectónica que aporte a escala ciudad</t>
        </is>
      </c>
      <c r="D5" s="5" t="inlineStr">
        <is>
          <t xml:space="preserve">RAP2.ENFASIS E INVESTIGACIÓN:
Al finalizar exitosamente la formación profesional, el estudiante de Arquitectura será capaz de emitir formulaciones teóricas, de forma integral, en respaldo a equipos de estudio  en permanente autoformación  en la búsqueda por construir la ciudad del siglo XXI como realidad urbana y social </t>
        </is>
      </c>
      <c r="E5" s="4" t="inlineStr">
        <is>
          <t>Reconoce el proceso investigativo necesario para analizar el contexto en el que va a trabajar, teniendo en cuenta el territorio donde se desarrollara el proyecto  arquitectónico.</t>
        </is>
      </c>
    </row>
    <row r="6" ht="230.4" customHeight="1" s="56">
      <c r="A6" s="70" t="n">
        <v>3</v>
      </c>
      <c r="B6" s="70" t="inlineStr">
        <is>
          <t>Cp3. 
Argumentará de forma técnica y profesional proyectos arquitectonicos a través del manejo los medios y herramientas de comunicación oral, escrita, grafica y volumétrica de las propuestas planteadas.</t>
        </is>
      </c>
      <c r="C6" s="70" t="inlineStr">
        <is>
          <t>* genéricas o transversales
Configura un proyecto arquitectónico integral que dialoga y aporta adecuadamente a la ciudad y a la población beneficiada</t>
        </is>
      </c>
      <c r="D6" s="70" t="inlineStr">
        <is>
          <t>RAP3. TECNOLÓGICO Y PRACTICO:
Al finalizar exitosamente la formación profesional, el estudiante de Arquitectura logrará una argumentación justificada de sus proyectos a traves del uso adecuado de la tecnología, los sistemas constructivos, la gestión, la programación, la elaboración de presupuestos, costos y beneficios, dirección y supervición  de la construcción de obras civiles en sus diferentes escalas.</t>
        </is>
      </c>
      <c r="E6" s="4" t="inlineStr">
        <is>
          <t>Ordena la representación gráfica y conceptual de las planchas y matrrices con una diagramación adecuada, legible, ordenada, sintética, acompañada con textos explicitos (redacción con ortografía) y concretos.</t>
        </is>
      </c>
    </row>
    <row r="7" ht="28.8" customHeight="1" s="56">
      <c r="A7" s="71" t="n"/>
      <c r="B7" s="71" t="n"/>
      <c r="C7" s="71" t="n"/>
      <c r="D7" s="71" t="n"/>
      <c r="E7" s="4" t="inlineStr">
        <is>
          <t>Expresa sus ideas tridimensionalmente a través de maquetas.</t>
        </is>
      </c>
    </row>
    <row r="8" ht="28.8" customHeight="1" s="56">
      <c r="A8" s="72" t="n"/>
      <c r="B8" s="72" t="n"/>
      <c r="C8" s="72" t="n"/>
      <c r="D8" s="72" t="n"/>
      <c r="E8" s="4" t="inlineStr">
        <is>
          <t xml:space="preserve">Explica sus ideas a través de planos de acuerdo a los formatos establecidos. </t>
        </is>
      </c>
    </row>
    <row r="9" ht="172.8" customHeight="1" s="56">
      <c r="A9" s="70" t="n">
        <v>4</v>
      </c>
      <c r="B9" s="5" t="inlineStr">
        <is>
          <t>Cp4. 
Manejará la tecnología, los sistemas constructivos y estructurales de acuerdo con las tendencias constructivas aplicadas a la arquitectura.</t>
        </is>
      </c>
      <c r="C9" s="5" t="inlineStr">
        <is>
          <t>* básicas: 
Aplicará adecuadamente la normativa urbana, de sismo rresistencia a nivel de predimensionamiento y la normativa técnica del tema a diseñar,en su proyecto arquitectónico</t>
        </is>
      </c>
      <c r="D9" s="5" t="inlineStr">
        <is>
          <t>RAP4. COMUNICACIÓN Y REPRESENTACIÓN ESPACIAL: Al finalizar exitosamente la formación profesional, el estudiante de Arquitectura logrará el manejo de herramientas para la formulación oral, escrita, gráfica y volumétrica  de las creaciones arquitectónicas planteadas.</t>
        </is>
      </c>
      <c r="E9" s="4" t="inlineStr">
        <is>
          <t>Selecciona la propuesta estructural básica de predimensionado del proyecto arquitectónico diseñado; evidenciado en la propuesta estructural en plantas, cortes y fachadas, asi como con el manejo en el diseño del sistema constructivo y técnica constructiva planteados. 
Instalaciones</t>
        </is>
      </c>
    </row>
    <row r="10" ht="172.8" customHeight="1" s="56">
      <c r="A10" s="70" t="n">
        <v>5</v>
      </c>
      <c r="B10" s="5" t="inlineStr">
        <is>
          <t>Cp5. 
Evaluará  con un pensamiento Critico y Autocritico las valoraciones y producciones arquitectónicas en el plano tradicional, contemporaneo y de vanguardia.</t>
        </is>
      </c>
      <c r="C10" s="5" t="inlineStr">
        <is>
          <t>* básicas: 
Aplicará adecuadamente la normativa urbana, de sismo rresistencia a nivel de predimensionamiento y la normativa técnica del tema a diseñar,en su proyecto arquitectónico</t>
        </is>
      </c>
      <c r="D10" s="5" t="inlineStr">
        <is>
          <t>RAP5.HISTORIA TEORÍA Y CRÍTICA:
Al finalizar exitosamente la formación profesional, el estudiante de Arquitectura será capaz de emitir juicios, valorolaciones y juzgamientos  de la arquitectura con datos y hechos comprobados frente a temas de debate y valoración arqitectónicos actuales, tanto locales como globales.</t>
        </is>
      </c>
      <c r="E10" s="4" t="inlineStr">
        <is>
          <t xml:space="preserve">Expresa de manera clara su proceso de propuesta de implantacion desde el analisis hasta el proceso de adherencia al contexto, evidenciado en la aplicación e implantación del proyecto arquitectónico.
Aplicar criterios de proporción aurea a fachada de proyecto. </t>
        </is>
      </c>
    </row>
    <row r="12" ht="18" customHeight="1" s="56">
      <c r="A12" s="40" t="inlineStr">
        <is>
          <t>¿Cómo se evalúan los Resultados de Aprendizaje (RAP) a lo largo del semestre?</t>
        </is>
      </c>
    </row>
    <row r="14" ht="15" customHeight="1" s="56">
      <c r="A14" t="inlineStr">
        <is>
          <t>En el diseño curricular y pedagógico de tu materia, los Resultados de Aprendizaje (RAP) se evalúan de forma acumulativa y progresiva vinculados directamente a los tres cortes académicos establecidos en la hoja Base_Notas. Su lógica interna opera de la siguiente manera:</t>
        </is>
      </c>
    </row>
    <row r="15">
      <c r="A15" s="41" t="n"/>
    </row>
    <row r="16">
      <c r="A16" s="42" t="inlineStr">
        <is>
          <t>RAP 1 (Proyectual - Creación básica): Se evalúa y consolida al finalizar el Primer Corte. Su desempeño se mapea directamente con la nota final obtenida en este bloque inicial (ponderación del 30%).</t>
        </is>
      </c>
    </row>
    <row r="17">
      <c r="A17" s="41" t="n"/>
    </row>
    <row r="18">
      <c r="A18" s="42" t="inlineStr">
        <is>
          <t>RAP 2 y RAP 5 (Énfasis / Histórico-Crítico): Se consolidan con el contenido avanzado durante el Segundo Corte (ponderación del 30%). Un estudiante demuestra su logro en estas áreas si asimila los marcos teóricos y territoriales medidos en este periodo.</t>
        </is>
      </c>
    </row>
    <row r="19">
      <c r="A19" s="41" t="n"/>
    </row>
    <row r="20">
      <c r="A20" s="42" t="inlineStr">
        <is>
          <t>RAP 3 y RAP 4 (Tecnológico-Práctico / Comunicación y Representación): Se miden y consolidan a través del Tercer Corte (ponderación del 40%), que evalúa el ensamble técnico final, presupuestos y la calidad gráfica de la entrega o sustentación final del proyecto arquitectónico.</t>
        </is>
      </c>
    </row>
    <row r="21">
      <c r="A21" s="41" t="n"/>
    </row>
    <row r="22">
      <c r="A22" s="42" t="inlineStr">
        <is>
          <t>Estado de Logro: Si el estudiante obtiene una nota igual o superior a 3.00 en el corte correspondiente, el sistema cambia automáticamente su estado a "Logrado" en el panel; de lo contrario, permanecerá en "En Proceso".</t>
        </is>
      </c>
    </row>
  </sheetData>
  <mergeCells count="8">
    <mergeCell ref="A2:A4"/>
    <mergeCell ref="C2:C4"/>
    <mergeCell ref="B2:B4"/>
    <mergeCell ref="C6:C8"/>
    <mergeCell ref="A6:A8"/>
    <mergeCell ref="D2:D4"/>
    <mergeCell ref="D6:D8"/>
    <mergeCell ref="B6:B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2026-07-11T15:07:59Z</dcterms:created>
  <dcterms:modified xsi:type="dcterms:W3CDTF">2026-07-13T01:38:18Z</dcterms:modified>
  <cp:lastModifiedBy>Juan K Marquez C.</cp:lastModifiedBy>
</cp:coreProperties>
</file>