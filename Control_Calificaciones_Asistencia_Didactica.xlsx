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uank\Downloads\"/>
    </mc:Choice>
  </mc:AlternateContent>
  <xr:revisionPtr revIDLastSave="0" documentId="13_ncr:1_{F4716BA1-2B98-4785-9949-487D0449C870}" xr6:coauthVersionLast="47" xr6:coauthVersionMax="47" xr10:uidLastSave="{00000000-0000-0000-0000-000000000000}"/>
  <bookViews>
    <workbookView xWindow="-108" yWindow="-108" windowWidth="23256" windowHeight="12456" xr2:uid="{00000000-000D-0000-FFFF-FFFF00000000}"/>
  </bookViews>
  <sheets>
    <sheet name="Dashboard" sheetId="1" r:id="rId1"/>
    <sheet name="Base_Notas" sheetId="2" r:id="rId2"/>
    <sheet name="Control_Asistencia" sheetId="3" r:id="rId3"/>
    <sheet name="Competencias y rap"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2" i="2" l="1"/>
  <c r="S12" i="2" s="1"/>
  <c r="T12" i="2" s="1"/>
  <c r="L12" i="2"/>
  <c r="M12" i="2" s="1"/>
  <c r="N12" i="2" s="1"/>
  <c r="G12" i="2"/>
  <c r="U12" i="2" s="1"/>
  <c r="V12" i="2" s="1"/>
  <c r="F12" i="2"/>
  <c r="R11" i="2"/>
  <c r="S11" i="2" s="1"/>
  <c r="T11" i="2" s="1"/>
  <c r="L11" i="2"/>
  <c r="M11" i="2" s="1"/>
  <c r="N11" i="2" s="1"/>
  <c r="F11" i="2"/>
  <c r="G11" i="2" s="1"/>
  <c r="R10" i="2"/>
  <c r="S10" i="2" s="1"/>
  <c r="T10" i="2" s="1"/>
  <c r="L10" i="2"/>
  <c r="M10" i="2" s="1"/>
  <c r="N10" i="2" s="1"/>
  <c r="F10" i="2"/>
  <c r="G10" i="2" s="1"/>
  <c r="R9" i="2"/>
  <c r="S9" i="2" s="1"/>
  <c r="T9" i="2" s="1"/>
  <c r="N9" i="2"/>
  <c r="M9" i="2"/>
  <c r="L9" i="2"/>
  <c r="H9" i="2"/>
  <c r="G9" i="2"/>
  <c r="U9" i="2" s="1"/>
  <c r="V9" i="2" s="1"/>
  <c r="F9" i="2"/>
  <c r="S8" i="2"/>
  <c r="T8" i="2" s="1"/>
  <c r="R8" i="2"/>
  <c r="M8" i="2"/>
  <c r="N8" i="2" s="1"/>
  <c r="L8" i="2"/>
  <c r="G8" i="2"/>
  <c r="F8" i="2"/>
  <c r="R7" i="2"/>
  <c r="S7" i="2" s="1"/>
  <c r="T7" i="2" s="1"/>
  <c r="L7" i="2"/>
  <c r="M7" i="2" s="1"/>
  <c r="N7" i="2" s="1"/>
  <c r="F7" i="2"/>
  <c r="G7" i="2" s="1"/>
  <c r="S6" i="2"/>
  <c r="T6" i="2" s="1"/>
  <c r="R6" i="2"/>
  <c r="N6" i="2"/>
  <c r="M6" i="2"/>
  <c r="L6" i="2"/>
  <c r="H6" i="2"/>
  <c r="G6" i="2"/>
  <c r="U6" i="2" s="1"/>
  <c r="V6" i="2" s="1"/>
  <c r="F6" i="2"/>
  <c r="R5" i="2"/>
  <c r="S5" i="2" s="1"/>
  <c r="T5" i="2" s="1"/>
  <c r="M5" i="2"/>
  <c r="N5" i="2" s="1"/>
  <c r="L5" i="2"/>
  <c r="G5" i="2"/>
  <c r="F5" i="2"/>
  <c r="R4" i="2"/>
  <c r="S4" i="2" s="1"/>
  <c r="T4" i="2" s="1"/>
  <c r="L4" i="2"/>
  <c r="M4" i="2" s="1"/>
  <c r="N4" i="2" s="1"/>
  <c r="F4" i="2"/>
  <c r="G4" i="2" s="1"/>
  <c r="H4" i="2" s="1"/>
  <c r="T3" i="2"/>
  <c r="S3" i="2"/>
  <c r="R3" i="2"/>
  <c r="M3" i="2"/>
  <c r="N3" i="2" s="1"/>
  <c r="L3" i="2"/>
  <c r="H3" i="2"/>
  <c r="G3" i="2"/>
  <c r="U3" i="2" s="1"/>
  <c r="V3" i="2" s="1"/>
  <c r="F3" i="2"/>
  <c r="S2" i="2"/>
  <c r="R2" i="2"/>
  <c r="L2" i="2"/>
  <c r="M2" i="2" s="1"/>
  <c r="AA3" i="1" s="1"/>
  <c r="G2" i="2"/>
  <c r="U2" i="2" s="1"/>
  <c r="V2" i="2" s="1"/>
  <c r="F2" i="2"/>
  <c r="C18" i="1"/>
  <c r="C15" i="1"/>
  <c r="A5" i="1"/>
  <c r="AF2" i="1"/>
  <c r="AE2" i="1"/>
  <c r="AA2" i="1"/>
  <c r="AK58" i="3"/>
  <c r="B58" i="3"/>
  <c r="AJ58" i="3" s="1"/>
  <c r="A58" i="3"/>
  <c r="B57" i="3"/>
  <c r="A57" i="3"/>
  <c r="B56" i="3"/>
  <c r="AK56" i="3" s="1"/>
  <c r="A56" i="3"/>
  <c r="AI55" i="3"/>
  <c r="B55" i="3"/>
  <c r="AK55" i="3" s="1"/>
  <c r="A55" i="3"/>
  <c r="B54" i="3"/>
  <c r="AK54" i="3" s="1"/>
  <c r="A54" i="3"/>
  <c r="B53" i="3"/>
  <c r="AK53" i="3" s="1"/>
  <c r="A53" i="3"/>
  <c r="B52" i="3"/>
  <c r="AJ52" i="3" s="1"/>
  <c r="A52" i="3"/>
  <c r="B51" i="3"/>
  <c r="AI51" i="3" s="1"/>
  <c r="A51" i="3"/>
  <c r="B50" i="3"/>
  <c r="AK50" i="3" s="1"/>
  <c r="A50" i="3"/>
  <c r="B49" i="3"/>
  <c r="AK49" i="3" s="1"/>
  <c r="A49" i="3"/>
  <c r="B48" i="3"/>
  <c r="A48" i="3"/>
  <c r="B47" i="3"/>
  <c r="AK47" i="3" s="1"/>
  <c r="A47" i="3"/>
  <c r="B46" i="3"/>
  <c r="AJ46" i="3" s="1"/>
  <c r="A46" i="3"/>
  <c r="AK45" i="3"/>
  <c r="B45" i="3"/>
  <c r="AJ45" i="3" s="1"/>
  <c r="A45" i="3"/>
  <c r="B44" i="3"/>
  <c r="AK44" i="3" s="1"/>
  <c r="A44" i="3"/>
  <c r="B43" i="3"/>
  <c r="AI43" i="3" s="1"/>
  <c r="A43" i="3"/>
  <c r="B42" i="3"/>
  <c r="AK42" i="3" s="1"/>
  <c r="A42" i="3"/>
  <c r="B41" i="3"/>
  <c r="AK41" i="3" s="1"/>
  <c r="A41" i="3"/>
  <c r="B40" i="3"/>
  <c r="AK40" i="3" s="1"/>
  <c r="A40" i="3"/>
  <c r="B39" i="3"/>
  <c r="AI39" i="3" s="1"/>
  <c r="A39" i="3"/>
  <c r="B38" i="3"/>
  <c r="AK38" i="3" s="1"/>
  <c r="A38" i="3"/>
  <c r="B37" i="3"/>
  <c r="AK37" i="3" s="1"/>
  <c r="A37" i="3"/>
  <c r="B36" i="3"/>
  <c r="A36" i="3"/>
  <c r="B35" i="3"/>
  <c r="AK35" i="3" s="1"/>
  <c r="A35" i="3"/>
  <c r="B34" i="3"/>
  <c r="AJ34" i="3" s="1"/>
  <c r="A34" i="3"/>
  <c r="B33" i="3"/>
  <c r="AK33" i="3" s="1"/>
  <c r="A33" i="3"/>
  <c r="B32" i="3"/>
  <c r="AI32" i="3" s="1"/>
  <c r="A32" i="3"/>
  <c r="AJ31" i="3"/>
  <c r="B31" i="3"/>
  <c r="AK31" i="3" s="1"/>
  <c r="A31" i="3"/>
  <c r="B30" i="3"/>
  <c r="AI30" i="3" s="1"/>
  <c r="A30" i="3"/>
  <c r="B29" i="3"/>
  <c r="A29" i="3"/>
  <c r="AK28" i="3"/>
  <c r="AI28" i="3"/>
  <c r="B28" i="3"/>
  <c r="AJ28" i="3" s="1"/>
  <c r="A28" i="3"/>
  <c r="B27" i="3"/>
  <c r="AI27" i="3" s="1"/>
  <c r="A27" i="3"/>
  <c r="B26" i="3"/>
  <c r="AI26" i="3" s="1"/>
  <c r="A26" i="3"/>
  <c r="B25" i="3"/>
  <c r="AJ25" i="3" s="1"/>
  <c r="A25" i="3"/>
  <c r="B24" i="3"/>
  <c r="A24" i="3"/>
  <c r="B23" i="3"/>
  <c r="AJ23" i="3" s="1"/>
  <c r="A23" i="3"/>
  <c r="B22" i="3"/>
  <c r="AJ22" i="3" s="1"/>
  <c r="A22" i="3"/>
  <c r="B21" i="3"/>
  <c r="AK21" i="3" s="1"/>
  <c r="A21" i="3"/>
  <c r="AK20" i="3"/>
  <c r="AJ20" i="3"/>
  <c r="B20" i="3"/>
  <c r="AI20" i="3" s="1"/>
  <c r="A20" i="3"/>
  <c r="B19" i="3"/>
  <c r="AK19" i="3" s="1"/>
  <c r="A19" i="3"/>
  <c r="B18" i="3"/>
  <c r="AI18" i="3" s="1"/>
  <c r="A18" i="3"/>
  <c r="B17" i="3"/>
  <c r="A17" i="3"/>
  <c r="B16" i="3"/>
  <c r="AK16" i="3" s="1"/>
  <c r="A16" i="3"/>
  <c r="AK15" i="3"/>
  <c r="B15" i="3"/>
  <c r="AI15" i="3" s="1"/>
  <c r="A15" i="3"/>
  <c r="B14" i="3"/>
  <c r="AJ14" i="3" s="1"/>
  <c r="A14" i="3"/>
  <c r="B13" i="3"/>
  <c r="AI13" i="3" s="1"/>
  <c r="A13" i="3"/>
  <c r="B12" i="3"/>
  <c r="AI12" i="3" s="1"/>
  <c r="A12" i="3"/>
  <c r="B11" i="3"/>
  <c r="A11" i="3"/>
  <c r="B10" i="3"/>
  <c r="A10" i="3"/>
  <c r="B9" i="3"/>
  <c r="A9" i="3"/>
  <c r="B8" i="3"/>
  <c r="AI8" i="3" s="1"/>
  <c r="AJ8" i="3" s="1"/>
  <c r="AK8" i="3" s="1"/>
  <c r="A8" i="3"/>
  <c r="B7" i="3"/>
  <c r="AI7" i="3" s="1"/>
  <c r="AJ7" i="3" s="1"/>
  <c r="AK7" i="3" s="1"/>
  <c r="A7" i="3"/>
  <c r="B6" i="3"/>
  <c r="A6" i="3"/>
  <c r="B5" i="3"/>
  <c r="A5" i="3"/>
  <c r="B4" i="3"/>
  <c r="AI4" i="3" s="1"/>
  <c r="AJ4" i="3" s="1"/>
  <c r="AK4" i="3" s="1"/>
  <c r="A4" i="3"/>
  <c r="B3" i="3"/>
  <c r="A3" i="3"/>
  <c r="B2" i="3"/>
  <c r="A2" i="3"/>
  <c r="AK13" i="3" l="1"/>
  <c r="AK32" i="3"/>
  <c r="AJ56" i="3"/>
  <c r="AJ32" i="3"/>
  <c r="AJ51" i="3"/>
  <c r="AK46" i="3"/>
  <c r="AJ27" i="3"/>
  <c r="AK30" i="3"/>
  <c r="AK27" i="3"/>
  <c r="AK14" i="3"/>
  <c r="AK34" i="3"/>
  <c r="AK39" i="3"/>
  <c r="AJ44" i="3"/>
  <c r="AK25" i="3"/>
  <c r="AJ13" i="3"/>
  <c r="AK51" i="3"/>
  <c r="AI56" i="3"/>
  <c r="AJ30" i="3"/>
  <c r="AI14" i="3"/>
  <c r="AK22" i="3"/>
  <c r="AJ39" i="3"/>
  <c r="AI44" i="3"/>
  <c r="AI31" i="3"/>
  <c r="AJ15" i="3"/>
  <c r="D18" i="1"/>
  <c r="AI37" i="3"/>
  <c r="AI23" i="3"/>
  <c r="AJ37" i="3"/>
  <c r="AI40" i="3"/>
  <c r="AJ49" i="3"/>
  <c r="AI52" i="3"/>
  <c r="H8" i="2"/>
  <c r="U8" i="2"/>
  <c r="V8" i="2" s="1"/>
  <c r="H10" i="2"/>
  <c r="U10" i="2"/>
  <c r="V10" i="2" s="1"/>
  <c r="AI49" i="3"/>
  <c r="AI35" i="3"/>
  <c r="U11" i="2"/>
  <c r="V11" i="2" s="1"/>
  <c r="H11" i="2"/>
  <c r="AK18" i="3"/>
  <c r="AI21" i="3"/>
  <c r="AK24" i="3"/>
  <c r="AJ24" i="3"/>
  <c r="AJ35" i="3"/>
  <c r="AI38" i="3"/>
  <c r="AI47" i="3"/>
  <c r="AI50" i="3"/>
  <c r="AA4" i="1"/>
  <c r="T2" i="2"/>
  <c r="D17" i="1" s="1"/>
  <c r="C17" i="1"/>
  <c r="AF4" i="1"/>
  <c r="AE4" i="1"/>
  <c r="AK52" i="3"/>
  <c r="AE3" i="1"/>
  <c r="N2" i="2"/>
  <c r="D16" i="1" s="1"/>
  <c r="C16" i="1"/>
  <c r="AF3" i="1"/>
  <c r="AJ18" i="3"/>
  <c r="AI6" i="3"/>
  <c r="AJ6" i="3" s="1"/>
  <c r="AK6" i="3" s="1"/>
  <c r="AJ21" i="3"/>
  <c r="AI24" i="3"/>
  <c r="AJ38" i="3"/>
  <c r="AJ47" i="3"/>
  <c r="AJ50" i="3"/>
  <c r="U4" i="2"/>
  <c r="V4" i="2" s="1"/>
  <c r="AI10" i="3"/>
  <c r="AJ10" i="3" s="1"/>
  <c r="AK10" i="3" s="1"/>
  <c r="AK43" i="3"/>
  <c r="AJ43" i="3"/>
  <c r="C5" i="1"/>
  <c r="AK17" i="3"/>
  <c r="AJ17" i="3"/>
  <c r="AI17" i="3"/>
  <c r="AJ40" i="3"/>
  <c r="AI11" i="3"/>
  <c r="AJ11" i="3" s="1"/>
  <c r="AK11" i="3" s="1"/>
  <c r="AJ26" i="3"/>
  <c r="AK26" i="3"/>
  <c r="AI9" i="3"/>
  <c r="AJ9" i="3" s="1"/>
  <c r="AK9" i="3" s="1"/>
  <c r="AI16" i="3"/>
  <c r="AI19" i="3"/>
  <c r="AI33" i="3"/>
  <c r="AK36" i="3"/>
  <c r="AJ36" i="3"/>
  <c r="AI42" i="3"/>
  <c r="AI54" i="3"/>
  <c r="AI57" i="3"/>
  <c r="AJ57" i="3"/>
  <c r="AA5" i="1"/>
  <c r="H5" i="2"/>
  <c r="U5" i="2"/>
  <c r="V5" i="2" s="1"/>
  <c r="G5" i="1" s="1"/>
  <c r="AK23" i="3"/>
  <c r="AJ12" i="3"/>
  <c r="AK12" i="3" s="1"/>
  <c r="AJ16" i="3"/>
  <c r="AJ19" i="3"/>
  <c r="AI25" i="3"/>
  <c r="AJ33" i="3"/>
  <c r="AI36" i="3"/>
  <c r="AJ42" i="3"/>
  <c r="AI45" i="3"/>
  <c r="AK48" i="3"/>
  <c r="AJ48" i="3"/>
  <c r="AI48" i="3"/>
  <c r="AJ54" i="3"/>
  <c r="AK57" i="3"/>
  <c r="AA6" i="1"/>
  <c r="H7" i="2"/>
  <c r="U7" i="2"/>
  <c r="V7" i="2" s="1"/>
  <c r="AI2" i="3"/>
  <c r="C19" i="1" s="1"/>
  <c r="AI5" i="3"/>
  <c r="AJ5" i="3" s="1"/>
  <c r="AK5" i="3" s="1"/>
  <c r="AK29" i="3"/>
  <c r="AJ29" i="3"/>
  <c r="AI29" i="3"/>
  <c r="H2" i="2"/>
  <c r="D15" i="1" s="1"/>
  <c r="H12" i="2"/>
  <c r="AI58" i="3"/>
  <c r="AJ55" i="3"/>
  <c r="AI41" i="3"/>
  <c r="AI53" i="3"/>
  <c r="AI3" i="3"/>
  <c r="AJ3" i="3" s="1"/>
  <c r="AK3" i="3" s="1"/>
  <c r="AI22" i="3"/>
  <c r="AI34" i="3"/>
  <c r="AJ41" i="3"/>
  <c r="AI46" i="3"/>
  <c r="AJ53" i="3"/>
  <c r="AJ2" i="3" l="1"/>
  <c r="AK2" i="3" s="1"/>
  <c r="E5" i="1"/>
  <c r="F12" i="1" l="1"/>
  <c r="F18" i="1"/>
  <c r="F15" i="1"/>
  <c r="D19" i="1"/>
</calcChain>
</file>

<file path=xl/sharedStrings.xml><?xml version="1.0" encoding="utf-8"?>
<sst xmlns="http://schemas.openxmlformats.org/spreadsheetml/2006/main" count="161" uniqueCount="152">
  <si>
    <t>Código</t>
  </si>
  <si>
    <t>Estudiante</t>
  </si>
  <si>
    <t>S1 C1</t>
  </si>
  <si>
    <t>S1 C2</t>
  </si>
  <si>
    <t>S2 C1</t>
  </si>
  <si>
    <t>S2 C2</t>
  </si>
  <si>
    <t>S3 C1</t>
  </si>
  <si>
    <t>S3 C2</t>
  </si>
  <si>
    <t>S4 C1</t>
  </si>
  <si>
    <t>S4 C2</t>
  </si>
  <si>
    <t>S5 C1</t>
  </si>
  <si>
    <t>S5 C2</t>
  </si>
  <si>
    <t>S6 C1</t>
  </si>
  <si>
    <t>S6 C2</t>
  </si>
  <si>
    <t>S7 C1</t>
  </si>
  <si>
    <t>S7 C2</t>
  </si>
  <si>
    <t>S8 C1</t>
  </si>
  <si>
    <t>S8 C2</t>
  </si>
  <si>
    <t>S9 C1</t>
  </si>
  <si>
    <t>S9 C2</t>
  </si>
  <si>
    <t>S10 C1</t>
  </si>
  <si>
    <t>S10 C2</t>
  </si>
  <si>
    <t>S11 C1</t>
  </si>
  <si>
    <t>S11 C2</t>
  </si>
  <si>
    <t>S12 C1</t>
  </si>
  <si>
    <t>S12 C2</t>
  </si>
  <si>
    <t>S13 C1</t>
  </si>
  <si>
    <t>S13 C2</t>
  </si>
  <si>
    <t>S14 C1</t>
  </si>
  <si>
    <t>S14 C2</t>
  </si>
  <si>
    <t>S15 C1</t>
  </si>
  <si>
    <t>S15 C2</t>
  </si>
  <si>
    <t>S16 C1</t>
  </si>
  <si>
    <t>S16 C2</t>
  </si>
  <si>
    <t>Total Faltas</t>
  </si>
  <si>
    <t>% Inasistencia</t>
  </si>
  <si>
    <t>Estado Asistencia</t>
  </si>
  <si>
    <t>RAP</t>
  </si>
  <si>
    <t>Promedio Curso</t>
  </si>
  <si>
    <t>Componente</t>
  </si>
  <si>
    <t>Promedio Grupo</t>
  </si>
  <si>
    <t>Estudiante Seleccionado</t>
  </si>
  <si>
    <t>Dashboard de Rendimiento Académico</t>
  </si>
  <si>
    <t>RAP 1</t>
  </si>
  <si>
    <t>RAP 1: Fundamentos (C1)</t>
  </si>
  <si>
    <t>Control de Calificaciones y Asistencia</t>
  </si>
  <si>
    <t>RAP 2</t>
  </si>
  <si>
    <t>RAP 2: Aplicación (C2)</t>
  </si>
  <si>
    <t>TOTAL ESTUDIANTES</t>
  </si>
  <si>
    <t>PROMEDIO GENERAL CURSO</t>
  </si>
  <si>
    <t>ESTUDIANTES APROBADOS</t>
  </si>
  <si>
    <t>REPROBADOS</t>
  </si>
  <si>
    <t>RAP 3</t>
  </si>
  <si>
    <t>RAP 3: Integración (C3)</t>
  </si>
  <si>
    <t>RAP 4</t>
  </si>
  <si>
    <t>RAP 5</t>
  </si>
  <si>
    <t>FILTRO INDIVIDUAL POR ESTUDIANTE</t>
  </si>
  <si>
    <t>MONITOREO DE ASISTENCIA</t>
  </si>
  <si>
    <t>Seleccione Alumno:</t>
  </si>
  <si>
    <t>Retirados del Curso:</t>
  </si>
  <si>
    <t>BARCENAS PORTILLA ANDRES FELIPE</t>
  </si>
  <si>
    <t>Periodo / Corte</t>
  </si>
  <si>
    <t>Porcentaje</t>
  </si>
  <si>
    <t>Nota Obtenida</t>
  </si>
  <si>
    <t>Estado del Corte</t>
  </si>
  <si>
    <t>Inasistencias Críticas:</t>
  </si>
  <si>
    <t>Primer Corte</t>
  </si>
  <si>
    <t>30%</t>
  </si>
  <si>
    <t>Segundo Corte</t>
  </si>
  <si>
    <t>Tercer Corte</t>
  </si>
  <si>
    <t>40%</t>
  </si>
  <si>
    <t>Alumnos Regulares (OK):</t>
  </si>
  <si>
    <t>Definitiva Semestre</t>
  </si>
  <si>
    <t>100%</t>
  </si>
  <si>
    <t>Total Faltas Alumno:</t>
  </si>
  <si>
    <t>ESTUDIANTES REPROBADOS (NOTA &lt; 3.0)</t>
  </si>
  <si>
    <t>Gómez Jaramillo Diana Carolina</t>
  </si>
  <si>
    <t>Nota Final:</t>
  </si>
  <si>
    <t>No Cumple</t>
  </si>
  <si>
    <t>Zapata Ossa Gabriela</t>
  </si>
  <si>
    <t>C1_T1</t>
  </si>
  <si>
    <t>C1_T2</t>
  </si>
  <si>
    <t>C1_T3</t>
  </si>
  <si>
    <t>Proceso C1</t>
  </si>
  <si>
    <t>Nota C1</t>
  </si>
  <si>
    <t>Estado C1</t>
  </si>
  <si>
    <t>C2_T1</t>
  </si>
  <si>
    <t>C2_T2</t>
  </si>
  <si>
    <t>C2_T3</t>
  </si>
  <si>
    <t>Proceso C2</t>
  </si>
  <si>
    <t>Nota C2</t>
  </si>
  <si>
    <t>Estado C2</t>
  </si>
  <si>
    <t>C3_T1</t>
  </si>
  <si>
    <t>C3_T2</t>
  </si>
  <si>
    <t>C3_T3</t>
  </si>
  <si>
    <t>Proceso C3</t>
  </si>
  <si>
    <t>Nota C3</t>
  </si>
  <si>
    <t>Estado C3</t>
  </si>
  <si>
    <t>Objetivo Aprendizaje</t>
  </si>
  <si>
    <t>2251405028</t>
  </si>
  <si>
    <t>2251405014</t>
  </si>
  <si>
    <t>BENAVIDES CUASTUZA YENELYN DANIELA</t>
  </si>
  <si>
    <t>2251405026</t>
  </si>
  <si>
    <t>CHIRAN ROJAS MARIO ANDRES</t>
  </si>
  <si>
    <t>2251405030</t>
  </si>
  <si>
    <t>ENRIQUEZ ORTIZ JUAN DIEGO</t>
  </si>
  <si>
    <t>1251405009</t>
  </si>
  <si>
    <t xml:space="preserve">GONZALEZ ARTEAGA GABRIELA </t>
  </si>
  <si>
    <t>2251405016</t>
  </si>
  <si>
    <t>IBARRA PASTAS DIANA LORENA</t>
  </si>
  <si>
    <t>1251405017</t>
  </si>
  <si>
    <t>JANAMEJOY MORA LAURA DANIELA</t>
  </si>
  <si>
    <t>1251405025</t>
  </si>
  <si>
    <t>JIMENEZ POTOSI EVELIN YENECSY</t>
  </si>
  <si>
    <t>1251405001</t>
  </si>
  <si>
    <t>MARINEZ SALAZAR ABEL STEPHEN</t>
  </si>
  <si>
    <t>2251405010</t>
  </si>
  <si>
    <t>MOLANO GARZON SARA SOFIA</t>
  </si>
  <si>
    <t>2251405020</t>
  </si>
  <si>
    <t>MORALES CUASPUD YOBANY ALBEIRO</t>
  </si>
  <si>
    <t>COMPETENCIAS DEL PROGRAMA</t>
  </si>
  <si>
    <t>COMPETENCIAS CENTRALES DEL ESPACIO ACADÉMICO</t>
  </si>
  <si>
    <t>RESULTADO DE APRENDIZAJE DEL ESPACIO ACADÉMICO</t>
  </si>
  <si>
    <t>CRITERIOS DE EVALUACIÓN</t>
  </si>
  <si>
    <t>Cp1. 
Creará proyectos de arquitectura de manera innovadora bajo un pensamiento crítico y propositivo de tal manera que satisfaga los requerimientos del ser humano, la sociedad y su contexto y el medio ambiente.</t>
  </si>
  <si>
    <t>* genéricas o transversales
Configura un proyecto arquitectónico integral que dialoga y aporta adecuadamente a la ciudad y a la población beneficiada</t>
  </si>
  <si>
    <t>RAP1.PROYECTUAL:
Al finalizar exitosamente la formación profesional, el estudiante de Arquitectura crea proyectos arquitectonicos que resuelvan los requerimientos básicos del ser humano, la sociedad y su contexto construido.</t>
  </si>
  <si>
    <t>Configura y crea la funcionalidad del diseño arquitectónico propuesto; evidenciado en la funcionalidad de cada una de las plantas de trabajo, en los cortes del proyecto y en las fachadas propuestas</t>
  </si>
  <si>
    <t>Configura y crea el diseño interior de los diferentes espacios del proyecto; evidenciado en la espacialidad propuesta; materiales propuestos, y relación de los diferentes espacios</t>
  </si>
  <si>
    <t>Maneja  los conceptos básicos de composición en arquitectura desde el concepto incial de diseño, pasando por el proceso de abstracción hasta el modelo germen de maqueta abstacta generadora de forma.</t>
  </si>
  <si>
    <t xml:space="preserve">Cp2.  
Formulará proyectos investigativos emprendedores e innovadores como parte activa de grupos de trabajo tanto en equipo como de manera autonoma en un contexto local, internacional o multidisciplianar al servicio de los nuevos paradigmas que la sociedad demanda. </t>
  </si>
  <si>
    <t>* específicas
Contrasta las diferentes normativas, con la realidad urbana, social y cultural del municipio y sector a intervenir, para lograr una adecuada intervención arquitectónica que aporte a escala ciudad</t>
  </si>
  <si>
    <t xml:space="preserve">RAP2.ENFASIS E INVESTIGACIÓN:
Al finalizar exitosamente la formación profesional, el estudiante de Arquitectura será capaz de emitir formulaciones teóricas, de forma integral, en respaldo a equipos de estudio  en permanente autoformación  en la búsqueda por construir la ciudad del siglo XXI como realidad urbana y social </t>
  </si>
  <si>
    <t>Reconoce el proceso investigativo necesario para analizar el contexto en el que va a trabajar, teniendo en cuenta el territorio donde se desarrollara el proyecto  arquitectónico.</t>
  </si>
  <si>
    <t>Cp3. 
Argumentará de forma técnica y profesional proyectos arquitectonicos a través del manejo los medios y herramientas de comunicación oral, escrita, grafica y volumétrica de las propuestas planteadas.</t>
  </si>
  <si>
    <t>RAP3. TECNOLÓGICO Y PRACTICO:
Al finalizar exitosamente la formación profesional, el estudiante de Arquitectura logrará una argumentación justificada de sus proyectos a traves del uso adecuado de la tecnología, los sistemas constructivos, la gestión, la programación, la elaboración de presupuestos, costos y beneficios, dirección y supervición  de la construcción de obras civiles en sus diferentes escalas.</t>
  </si>
  <si>
    <t>Ordena la representación gráfica y conceptual de las planchas y matrrices con una diagramación adecuada, legible, ordenada, sintética, acompañada con textos explicitos (redacción con ortografía) y concretos.</t>
  </si>
  <si>
    <t>Expresa sus ideas tridimensionalmente a través de maquetas.</t>
  </si>
  <si>
    <t xml:space="preserve">Explica sus ideas a través de planos de acuerdo a los formatos establecidos. </t>
  </si>
  <si>
    <t>Cp4. 
Manejará la tecnología, los sistemas constructivos y estructurales de acuerdo con las tendencias constructivas aplicadas a la arquitectura.</t>
  </si>
  <si>
    <t>* básicas: 
Aplicará adecuadamente la normativa urbana, de sismo rresistencia a nivel de predimensionamiento y la normativa técnica del tema a diseñar,en su proyecto arquitectónico</t>
  </si>
  <si>
    <t>RAP4. COMUNICACIÓN Y REPRESENTACIÓN ESPACIAL: Al finalizar exitosamente la formación profesional, el estudiante de Arquitectura logrará el manejo de herramientas para la formulación oral, escrita, gráfica y volumétrica  de las creaciones arquitectónicas planteadas.</t>
  </si>
  <si>
    <t>Selecciona la propuesta estructural básica de predimensionado del proyecto arquitectónico diseñado; evidenciado en la propuesta estructural en plantas, cortes y fachadas, asi como con el manejo en el diseño del sistema constructivo y técnica constructiva planteados. 
Instalaciones</t>
  </si>
  <si>
    <t>Cp5. 
Evaluará  con un pensamiento Critico y Autocritico las valoraciones y producciones arquitectónicas en el plano tradicional, contemporaneo y de vanguardia.</t>
  </si>
  <si>
    <t>RAP5.HISTORIA TEORÍA Y CRÍTICA:
Al finalizar exitosamente la formación profesional, el estudiante de Arquitectura será capaz de emitir juicios, valorolaciones y juzgamientos  de la arquitectura con datos y hechos comprobados frente a temas de debate y valoración arqitectónicos actuales, tanto locales como globales.</t>
  </si>
  <si>
    <t xml:space="preserve">Expresa de manera clara su proceso de propuesta de implantacion desde el analisis hasta el proceso de adherencia al contexto, evidenciado en la aplicación e implantación del proyecto arquitectónico.
Aplicar criterios de proporción aurea a fachada de proyecto. </t>
  </si>
  <si>
    <t>¿Cómo se evalúan los Resultados de Aprendizaje (RAP) a lo largo del semestre?</t>
  </si>
  <si>
    <t>En el diseño curricular y pedagógico de tu materia, los Resultados de Aprendizaje (RAP) se evalúan de forma acumulativa y progresiva vinculados directamente a los tres cortes académicos establecidos en la hoja Base_Notas. Su lógica interna opera de la siguiente manera:</t>
  </si>
  <si>
    <t>RAP 1 (Proyectual - Creación básica): Se evalúa y consolida al finalizar el Primer Corte. Su desempeño se mapea directamente con la nota final obtenida en este bloque inicial (ponderación del 30%).</t>
  </si>
  <si>
    <t>RAP 2 y RAP 5 (Énfasis / Histórico-Crítico): Se consolidan con el contenido avanzado durante el Segundo Corte (ponderación del 30%). Un estudiante demuestra su logro en estas áreas si asimila los marcos teóricos y territoriales medidos en este periodo.</t>
  </si>
  <si>
    <t>RAP 3 y RAP 4 (Tecnológico-Práctico / Comunicación y Representación): Se miden y consolidan a través del Tercer Corte (ponderación del 40%), que evalúa el ensamble técnico final, presupuestos y la calidad gráfica de la entrega o sustentación final del proyecto arquitectónico.</t>
  </si>
  <si>
    <t>Estado de Logro: Si el estudiante obtiene una nota igual o superior a 3.00 en el corte correspondiente, el sistema cambia automáticamente su estado a "Logrado" en el panel; de lo contrario, permanecerá en "En Proceso".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</si>
</sst>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b/>
      <sz val="10"/>
      <color rgb="FFFFFFFF"/>
      <name val="Arial"/>
    </font>
    <font>
      <sz val="11"/>
      <name val="Segoe UI"/>
    </font>
    <font>
      <b/>
      <sz val="15"/>
      <color rgb="FF1E293B"/>
      <name val="Segoe UI"/>
    </font>
    <font>
      <i/>
      <sz val="9"/>
      <color rgb="FF64748B"/>
      <name val="Segoe UI"/>
    </font>
    <font>
      <b/>
      <sz val="9"/>
      <color rgb="FF64748B"/>
      <name val="Segoe UI"/>
    </font>
    <font>
      <b/>
      <sz val="22"/>
      <color rgb="FF1E293B"/>
      <name val="Segoe UI"/>
    </font>
    <font>
      <b/>
      <sz val="9"/>
      <color rgb="FFFFFFFF"/>
      <name val="Segoe UI"/>
    </font>
    <font>
      <b/>
      <sz val="10"/>
      <color rgb="FF0F766E"/>
      <name val="Segoe UI"/>
    </font>
    <font>
      <b/>
      <sz val="11"/>
      <color rgb="FF000000"/>
      <name val="Segoe UI"/>
    </font>
    <font>
      <sz val="10"/>
      <name val="Segoe UI"/>
    </font>
    <font>
      <b/>
      <sz val="10"/>
      <name val="Segoe UI"/>
    </font>
    <font>
      <b/>
      <sz val="16"/>
      <color rgb="FF856404"/>
      <name val="Segoe UI"/>
    </font>
    <font>
      <b/>
      <sz val="16"/>
      <color rgb="FF721C24"/>
      <name val="Segoe UI"/>
    </font>
    <font>
      <b/>
      <sz val="16"/>
      <color rgb="FF0369A1"/>
      <name val="Segoe UI"/>
    </font>
    <font>
      <b/>
      <sz val="10"/>
      <color rgb="FF1E293B"/>
      <name val="Segoe UI"/>
    </font>
    <font>
      <sz val="9"/>
      <color rgb="FF64748B"/>
      <name val="Segoe UI"/>
    </font>
    <font>
      <b/>
      <sz val="10"/>
      <color rgb="FF991B1B"/>
      <name val="Segoe UI"/>
    </font>
    <font>
      <i/>
      <sz val="9"/>
      <color rgb="FF991B1B"/>
      <name val="Segoe UI"/>
    </font>
    <font>
      <b/>
      <sz val="11"/>
      <color theme="1"/>
      <name val="Calibri"/>
      <family val="2"/>
      <scheme val="minor"/>
    </font>
    <font>
      <b/>
      <sz val="13.5"/>
      <color theme="1"/>
      <name val="Calibri"/>
      <family val="2"/>
      <scheme val="minor"/>
    </font>
    <font>
      <b/>
      <sz val="10"/>
      <color rgb="FFFFFFFF"/>
      <name val="Segoe UI"/>
    </font>
    <font>
      <b/>
      <sz val="10"/>
      <color rgb="FF137333"/>
      <name val="Segoe UI"/>
    </font>
    <font>
      <b/>
      <sz val="10"/>
      <color rgb="FFC5221F"/>
      <name val="Segoe UI"/>
    </font>
  </fonts>
  <fills count="17">
    <fill>
      <patternFill patternType="none"/>
    </fill>
    <fill>
      <patternFill patternType="gray125"/>
    </fill>
    <fill>
      <patternFill patternType="solid">
        <fgColor rgb="FF343A40"/>
        <bgColor rgb="FF343A40"/>
      </patternFill>
    </fill>
    <fill>
      <patternFill patternType="solid">
        <fgColor theme="3" tint="0.39997558519241921"/>
        <bgColor rgb="FF343A40"/>
      </patternFill>
    </fill>
    <fill>
      <patternFill patternType="solid">
        <fgColor theme="5" tint="-0.249977111117893"/>
        <bgColor rgb="FF343A40"/>
      </patternFill>
    </fill>
    <fill>
      <patternFill patternType="solid">
        <fgColor theme="0" tint="-0.499984740745262"/>
        <bgColor rgb="FF343A40"/>
      </patternFill>
    </fill>
    <fill>
      <patternFill patternType="solid">
        <fgColor rgb="FFFF0000"/>
        <bgColor rgb="FF343A40"/>
      </patternFill>
    </fill>
    <fill>
      <patternFill patternType="solid">
        <fgColor rgb="FFFFFFFF"/>
        <bgColor rgb="FFFFFFFF"/>
      </patternFill>
    </fill>
    <fill>
      <patternFill patternType="solid">
        <fgColor rgb="FF334155"/>
        <bgColor rgb="FF334155"/>
      </patternFill>
    </fill>
    <fill>
      <patternFill patternType="solid">
        <fgColor rgb="FFF0FDF4"/>
        <bgColor rgb="FFF0FDF4"/>
      </patternFill>
    </fill>
    <fill>
      <patternFill patternType="solid">
        <fgColor rgb="FFFFF3CD"/>
        <bgColor rgb="FFFFF3CD"/>
      </patternFill>
    </fill>
    <fill>
      <patternFill patternType="solid">
        <fgColor rgb="FFF8D7DA"/>
        <bgColor rgb="FFF8D7DA"/>
      </patternFill>
    </fill>
    <fill>
      <patternFill patternType="solid">
        <fgColor rgb="FFE0F2FE"/>
        <bgColor rgb="FFE0F2FE"/>
      </patternFill>
    </fill>
    <fill>
      <patternFill patternType="solid">
        <fgColor rgb="FF991B1B"/>
        <bgColor rgb="FF991B1B"/>
      </patternFill>
    </fill>
    <fill>
      <patternFill patternType="solid">
        <fgColor rgb="FF1E293B"/>
        <bgColor rgb="FF1E293B"/>
      </patternFill>
    </fill>
    <fill>
      <patternFill patternType="solid">
        <fgColor rgb="FFE6F4EA"/>
        <bgColor rgb="FFE6F4EA"/>
      </patternFill>
    </fill>
    <fill>
      <patternFill patternType="solid">
        <fgColor rgb="FFFCE8E6"/>
        <bgColor rgb="FFFCE8E6"/>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BDC3C7"/>
      </left>
      <right style="thin">
        <color rgb="FFBDC3C7"/>
      </right>
      <top style="thin">
        <color rgb="FFBDC3C7"/>
      </top>
      <bottom style="thin">
        <color rgb="FFBDC3C7"/>
      </bottom>
      <diagonal/>
    </border>
    <border>
      <left style="thin">
        <color rgb="FFBDC3C7"/>
      </left>
      <right style="thin">
        <color rgb="FFBDC3C7"/>
      </right>
      <top/>
      <bottom/>
      <diagonal/>
    </border>
    <border>
      <left/>
      <right/>
      <top/>
      <bottom/>
      <diagonal/>
    </border>
    <border>
      <left style="thin">
        <color rgb="FFE2E8F0"/>
      </left>
      <right style="thin">
        <color rgb="FFE2E8F0"/>
      </right>
      <top style="thin">
        <color rgb="FFE2E8F0"/>
      </top>
      <bottom style="thin">
        <color rgb="FFE2E8F0"/>
      </bottom>
      <diagonal/>
    </border>
    <border>
      <left/>
      <right/>
      <top style="thin">
        <color rgb="FFE2E8F0"/>
      </top>
      <bottom/>
      <diagonal/>
    </border>
    <border>
      <left/>
      <right style="thin">
        <color rgb="FFE2E8F0"/>
      </right>
      <top style="thin">
        <color rgb="FFE2E8F0"/>
      </top>
      <bottom/>
      <diagonal/>
    </border>
    <border>
      <left/>
      <right style="thin">
        <color rgb="FFE2E8F0"/>
      </right>
      <top style="thin">
        <color rgb="FFE2E8F0"/>
      </top>
      <bottom style="thin">
        <color rgb="FFE2E8F0"/>
      </bottom>
      <diagonal/>
    </border>
    <border>
      <left style="thin">
        <color rgb="FFE2E8F0"/>
      </left>
      <right/>
      <top/>
      <bottom style="thin">
        <color rgb="FFE2E8F0"/>
      </bottom>
      <diagonal/>
    </border>
    <border>
      <left/>
      <right/>
      <top/>
      <bottom style="thin">
        <color rgb="FFE2E8F0"/>
      </bottom>
      <diagonal/>
    </border>
    <border>
      <left/>
      <right style="thin">
        <color rgb="FFE2E8F0"/>
      </right>
      <top/>
      <bottom style="thin">
        <color rgb="FFE2E8F0"/>
      </bottom>
      <diagonal/>
    </border>
    <border>
      <left/>
      <right/>
      <top style="thin">
        <color rgb="FFE2E8F0"/>
      </top>
      <bottom style="thin">
        <color rgb="FFE2E8F0"/>
      </bottom>
      <diagonal/>
    </border>
    <border>
      <left style="thin">
        <color rgb="FFE2E8F0"/>
      </left>
      <right style="thin">
        <color rgb="FFE2E8F0"/>
      </right>
      <top/>
      <bottom style="thin">
        <color rgb="FFE2E8F0"/>
      </bottom>
      <diagonal/>
    </border>
    <border>
      <left style="thin">
        <color rgb="FFCBD5E1"/>
      </left>
      <right style="thin">
        <color rgb="FFCBD5E1"/>
      </right>
      <top style="thin">
        <color rgb="FFCBD5E1"/>
      </top>
      <bottom style="thin">
        <color rgb="FFCBD5E1"/>
      </bottom>
      <diagonal/>
    </border>
  </borders>
  <cellStyleXfs count="1">
    <xf numFmtId="0" fontId="0" fillId="0" borderId="6"/>
  </cellStyleXfs>
  <cellXfs count="73">
    <xf numFmtId="0" fontId="0" fillId="0" borderId="0" xfId="0" applyBorder="1"/>
    <xf numFmtId="0" fontId="0" fillId="0" borderId="0" xfId="0" applyBorder="1" applyAlignment="1">
      <alignment wrapText="1"/>
    </xf>
    <xf numFmtId="0" fontId="0" fillId="0" borderId="0"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top" wrapText="1"/>
    </xf>
    <xf numFmtId="0" fontId="0" fillId="0" borderId="1" xfId="0" applyBorder="1" applyAlignment="1">
      <alignment vertical="center" wrapText="1"/>
    </xf>
    <xf numFmtId="0" fontId="1" fillId="2" borderId="4" xfId="0" applyFont="1" applyFill="1" applyBorder="1" applyAlignment="1">
      <alignment horizontal="center" vertical="center"/>
    </xf>
    <xf numFmtId="0" fontId="0" fillId="0" borderId="4" xfId="0" applyBorder="1"/>
    <xf numFmtId="2" fontId="0" fillId="0" borderId="4" xfId="0" applyNumberFormat="1" applyBorder="1"/>
    <xf numFmtId="0" fontId="1" fillId="3" borderId="4" xfId="0" applyFont="1" applyFill="1" applyBorder="1" applyAlignment="1">
      <alignment horizontal="center" vertical="center" wrapText="1"/>
    </xf>
    <xf numFmtId="0" fontId="1" fillId="4" borderId="4" xfId="0" applyFont="1" applyFill="1" applyBorder="1" applyAlignment="1">
      <alignment horizontal="center" vertical="center"/>
    </xf>
    <xf numFmtId="0" fontId="1" fillId="5" borderId="4" xfId="0" applyFont="1" applyFill="1" applyBorder="1" applyAlignment="1">
      <alignment horizontal="center" vertical="center"/>
    </xf>
    <xf numFmtId="2" fontId="0" fillId="0" borderId="4" xfId="0" applyNumberFormat="1" applyBorder="1" applyAlignment="1">
      <alignment horizontal="center"/>
    </xf>
    <xf numFmtId="0" fontId="1" fillId="6" borderId="4" xfId="0" applyFont="1" applyFill="1" applyBorder="1" applyAlignment="1">
      <alignment horizontal="center" vertical="center" wrapText="1"/>
    </xf>
    <xf numFmtId="0" fontId="0" fillId="0" borderId="5" xfId="0" applyBorder="1"/>
    <xf numFmtId="2" fontId="0" fillId="0" borderId="5" xfId="0" applyNumberFormat="1" applyBorder="1"/>
    <xf numFmtId="2" fontId="0" fillId="0" borderId="5" xfId="0" applyNumberFormat="1" applyBorder="1" applyAlignment="1">
      <alignment horizontal="center"/>
    </xf>
    <xf numFmtId="0" fontId="2" fillId="0" borderId="6" xfId="0" applyFont="1" applyAlignment="1">
      <alignment horizontal="center" vertical="center"/>
    </xf>
    <xf numFmtId="0" fontId="2" fillId="0" borderId="6" xfId="0" applyFont="1"/>
    <xf numFmtId="0" fontId="3" fillId="0" borderId="6" xfId="0" applyFont="1"/>
    <xf numFmtId="2" fontId="2" fillId="0" borderId="6" xfId="0" applyNumberFormat="1" applyFont="1"/>
    <xf numFmtId="0" fontId="2" fillId="0" borderId="6" xfId="0" applyFont="1" applyAlignment="1">
      <alignment horizontal="center"/>
    </xf>
    <xf numFmtId="0" fontId="4" fillId="0" borderId="6" xfId="0" applyFont="1"/>
    <xf numFmtId="9" fontId="7" fillId="8" borderId="7" xfId="0" applyNumberFormat="1" applyFont="1" applyFill="1" applyBorder="1" applyAlignment="1">
      <alignment horizontal="center" vertical="center"/>
    </xf>
    <xf numFmtId="2" fontId="7" fillId="8" borderId="7" xfId="0" applyNumberFormat="1" applyFont="1" applyFill="1" applyBorder="1" applyAlignment="1">
      <alignment horizontal="center" vertical="center"/>
    </xf>
    <xf numFmtId="0" fontId="7" fillId="8" borderId="7" xfId="0" applyFont="1" applyFill="1" applyBorder="1" applyAlignment="1">
      <alignment horizontal="center" vertical="center"/>
    </xf>
    <xf numFmtId="9" fontId="10" fillId="0" borderId="7" xfId="0" applyNumberFormat="1" applyFont="1" applyBorder="1" applyAlignment="1">
      <alignment horizontal="center"/>
    </xf>
    <xf numFmtId="2" fontId="2" fillId="0" borderId="7" xfId="0" applyNumberFormat="1" applyFont="1" applyBorder="1" applyAlignment="1">
      <alignment horizontal="center"/>
    </xf>
    <xf numFmtId="2" fontId="11" fillId="0" borderId="7" xfId="0" applyNumberFormat="1" applyFont="1" applyBorder="1" applyAlignment="1">
      <alignment horizontal="center"/>
    </xf>
    <xf numFmtId="0" fontId="11" fillId="0" borderId="7" xfId="0" applyFont="1" applyBorder="1" applyAlignment="1">
      <alignment horizontal="center"/>
    </xf>
    <xf numFmtId="0" fontId="2" fillId="0" borderId="7" xfId="0" applyFont="1" applyBorder="1" applyAlignment="1">
      <alignment horizontal="center"/>
    </xf>
    <xf numFmtId="0" fontId="15" fillId="0" borderId="7" xfId="0" applyFont="1" applyBorder="1" applyAlignment="1">
      <alignment vertical="top" wrapText="1"/>
    </xf>
    <xf numFmtId="0" fontId="16" fillId="0" borderId="7" xfId="0" applyFont="1" applyBorder="1" applyAlignment="1">
      <alignment horizontal="center" vertical="center"/>
    </xf>
    <xf numFmtId="0" fontId="18" fillId="0" borderId="7" xfId="0" applyFont="1" applyBorder="1"/>
    <xf numFmtId="0" fontId="2" fillId="0" borderId="6" xfId="0" applyFont="1" applyAlignment="1">
      <alignment vertical="top" wrapText="1"/>
    </xf>
    <xf numFmtId="2" fontId="0" fillId="0" borderId="0" xfId="0" applyNumberFormat="1" applyBorder="1"/>
    <xf numFmtId="0" fontId="11" fillId="0" borderId="7" xfId="0" applyFont="1" applyBorder="1" applyAlignment="1">
      <alignment horizontal="right"/>
    </xf>
    <xf numFmtId="2" fontId="17" fillId="0" borderId="7" xfId="0" applyNumberFormat="1" applyFont="1"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20" fillId="0" borderId="0" xfId="0" applyFont="1" applyBorder="1" applyAlignment="1">
      <alignment vertical="center"/>
    </xf>
    <xf numFmtId="0" fontId="0" fillId="0" borderId="0" xfId="0" applyBorder="1" applyAlignment="1">
      <alignment horizontal="left" vertical="center" indent="1"/>
    </xf>
    <xf numFmtId="0" fontId="19" fillId="0" borderId="0" xfId="0" applyFont="1" applyBorder="1" applyAlignment="1">
      <alignment horizontal="left" vertical="center" indent="1"/>
    </xf>
    <xf numFmtId="0" fontId="21" fillId="14" borderId="4" xfId="0" applyFont="1" applyFill="1" applyBorder="1" applyAlignment="1">
      <alignment horizontal="center" vertical="center" wrapText="1"/>
    </xf>
    <xf numFmtId="0" fontId="22" fillId="15" borderId="16" xfId="0" applyFont="1" applyFill="1" applyBorder="1" applyAlignment="1">
      <alignment horizontal="center" vertical="center"/>
    </xf>
    <xf numFmtId="0" fontId="23" fillId="16" borderId="16" xfId="0" applyFont="1" applyFill="1" applyBorder="1" applyAlignment="1">
      <alignment horizontal="center" vertical="center"/>
    </xf>
    <xf numFmtId="0" fontId="5" fillId="7" borderId="7" xfId="0" applyFont="1" applyFill="1" applyBorder="1" applyAlignment="1">
      <alignment horizontal="center" vertical="center"/>
    </xf>
    <xf numFmtId="0" fontId="6" fillId="7" borderId="7" xfId="0" applyFont="1" applyFill="1" applyBorder="1" applyAlignment="1">
      <alignment horizontal="center" vertical="center"/>
    </xf>
    <xf numFmtId="0" fontId="0" fillId="0" borderId="9" xfId="0" applyBorder="1"/>
    <xf numFmtId="0" fontId="0" fillId="0" borderId="11" xfId="0" applyBorder="1"/>
    <xf numFmtId="0" fontId="0" fillId="0" borderId="13" xfId="0" applyBorder="1"/>
    <xf numFmtId="0" fontId="5" fillId="12" borderId="7" xfId="0" applyFont="1" applyFill="1" applyBorder="1" applyAlignment="1">
      <alignment horizontal="center" vertical="center"/>
    </xf>
    <xf numFmtId="0" fontId="0" fillId="0" borderId="14" xfId="0" applyBorder="1"/>
    <xf numFmtId="0" fontId="0" fillId="0" borderId="10" xfId="0" applyBorder="1"/>
    <xf numFmtId="0" fontId="5" fillId="7" borderId="7" xfId="0" applyFont="1" applyFill="1" applyBorder="1" applyAlignment="1">
      <alignment horizontal="center" vertical="center" wrapText="1"/>
    </xf>
    <xf numFmtId="0" fontId="7" fillId="8" borderId="6" xfId="0" applyFont="1" applyFill="1" applyAlignment="1">
      <alignment horizontal="center" vertical="center"/>
    </xf>
    <xf numFmtId="0" fontId="0" fillId="0" borderId="0" xfId="0" applyBorder="1"/>
    <xf numFmtId="0" fontId="13" fillId="11" borderId="7" xfId="0" applyFont="1" applyFill="1" applyBorder="1" applyAlignment="1">
      <alignment horizontal="center" vertical="center"/>
    </xf>
    <xf numFmtId="0" fontId="0" fillId="0" borderId="8" xfId="0" applyBorder="1"/>
    <xf numFmtId="0" fontId="0" fillId="0" borderId="12" xfId="0" applyBorder="1"/>
    <xf numFmtId="0" fontId="12" fillId="10" borderId="7" xfId="0" applyFont="1" applyFill="1" applyBorder="1" applyAlignment="1">
      <alignment horizontal="center" vertical="center"/>
    </xf>
    <xf numFmtId="0" fontId="0" fillId="0" borderId="15" xfId="0" applyBorder="1"/>
    <xf numFmtId="0" fontId="5" fillId="11" borderId="7" xfId="0" applyFont="1" applyFill="1" applyBorder="1" applyAlignment="1">
      <alignment horizontal="center" vertical="center"/>
    </xf>
    <xf numFmtId="0" fontId="14" fillId="12" borderId="7" xfId="0" applyFont="1" applyFill="1" applyBorder="1" applyAlignment="1">
      <alignment horizontal="center" vertical="center"/>
    </xf>
    <xf numFmtId="2" fontId="6" fillId="7" borderId="7" xfId="0" applyNumberFormat="1" applyFont="1" applyFill="1" applyBorder="1" applyAlignment="1">
      <alignment horizontal="center" vertical="center"/>
    </xf>
    <xf numFmtId="0" fontId="5" fillId="10" borderId="7" xfId="0" applyFont="1" applyFill="1" applyBorder="1" applyAlignment="1">
      <alignment horizontal="center" vertical="center"/>
    </xf>
    <xf numFmtId="0" fontId="8" fillId="0" borderId="12" xfId="0" applyFont="1" applyBorder="1" applyAlignment="1">
      <alignment horizontal="right"/>
    </xf>
    <xf numFmtId="0" fontId="9" fillId="9" borderId="7" xfId="0" applyFont="1" applyFill="1" applyBorder="1" applyAlignment="1">
      <alignment horizontal="right" vertical="center"/>
    </xf>
    <xf numFmtId="0" fontId="11" fillId="0" borderId="7" xfId="0" applyFont="1" applyBorder="1" applyAlignment="1">
      <alignment horizontal="right"/>
    </xf>
    <xf numFmtId="0" fontId="7" fillId="13" borderId="6" xfId="0" applyFont="1" applyFill="1" applyAlignment="1">
      <alignment horizontal="center" vertical="center"/>
    </xf>
    <xf numFmtId="0" fontId="0" fillId="0" borderId="1" xfId="0" applyBorder="1" applyAlignment="1">
      <alignment horizontal="center" vertical="center" wrapText="1"/>
    </xf>
    <xf numFmtId="0" fontId="0" fillId="0" borderId="2" xfId="0" applyBorder="1"/>
    <xf numFmtId="0" fontId="0" fillId="0" borderId="3" xfId="0" applyBorder="1"/>
  </cellXfs>
  <cellStyles count="1">
    <cellStyle name="Normal" xfId="0" builtinId="0"/>
  </cellStyles>
  <dxfs count="33">
    <dxf>
      <font>
        <b/>
        <sz val="10"/>
        <color rgb="FF721C24"/>
        <name val="Arial"/>
      </font>
      <fill>
        <patternFill patternType="solid">
          <fgColor rgb="FFF8D7DA"/>
          <bgColor rgb="FFF8D7DA"/>
        </patternFill>
      </fill>
    </dxf>
    <dxf>
      <font>
        <b/>
        <sz val="10"/>
        <color rgb="FF155724"/>
        <name val="Arial"/>
      </font>
      <fill>
        <patternFill patternType="solid">
          <fgColor rgb="FFD4EDDA"/>
          <bgColor rgb="FFD4EDDA"/>
        </patternFill>
      </fill>
    </dxf>
    <dxf>
      <font>
        <b/>
        <sz val="10"/>
        <color rgb="FF721C24"/>
        <name val="Arial"/>
      </font>
      <fill>
        <patternFill patternType="solid">
          <fgColor rgb="FFF8D7DA"/>
          <bgColor rgb="FFF8D7DA"/>
        </patternFill>
      </fill>
    </dxf>
    <dxf>
      <font>
        <b/>
        <sz val="10"/>
        <color rgb="FF721C24"/>
        <name val="Arial"/>
      </font>
      <fill>
        <patternFill patternType="solid">
          <fgColor rgb="FFF8D7DA"/>
          <bgColor rgb="FFF8D7DA"/>
        </patternFill>
      </fill>
    </dxf>
    <dxf>
      <font>
        <b/>
        <sz val="10"/>
        <color rgb="FF155724"/>
        <name val="Arial"/>
      </font>
      <fill>
        <patternFill patternType="solid">
          <fgColor rgb="FFD4EDDA"/>
          <bgColor rgb="FFD4EDDA"/>
        </patternFill>
      </fill>
    </dxf>
    <dxf>
      <font>
        <b/>
        <sz val="10"/>
        <color rgb="FF721C24"/>
        <name val="Arial"/>
      </font>
      <fill>
        <patternFill patternType="solid">
          <fgColor rgb="FFF8D7DA"/>
          <bgColor rgb="FFF8D7DA"/>
        </patternFill>
      </fill>
    </dxf>
    <dxf>
      <font>
        <b/>
        <sz val="10"/>
        <color rgb="FF155724"/>
        <name val="Arial"/>
      </font>
      <fill>
        <patternFill patternType="solid">
          <fgColor rgb="FFD4EDDA"/>
          <bgColor rgb="FFD4EDDA"/>
        </patternFill>
      </fill>
    </dxf>
    <dxf>
      <font>
        <color rgb="FF9C5700"/>
      </font>
      <fill>
        <patternFill>
          <bgColor rgb="FFFFEB9C"/>
        </patternFill>
      </fill>
    </dxf>
    <dxf>
      <font>
        <b/>
        <sz val="10"/>
        <color rgb="FF721C24"/>
        <name val="Arial"/>
      </font>
      <fill>
        <patternFill patternType="solid">
          <fgColor rgb="FFF8D7DA"/>
          <bgColor rgb="FFF8D7DA"/>
        </patternFill>
      </fill>
    </dxf>
    <dxf>
      <font>
        <b/>
        <sz val="10"/>
        <color rgb="FF155724"/>
        <name val="Arial"/>
      </font>
      <fill>
        <patternFill patternType="solid">
          <fgColor rgb="FFD4EDDA"/>
          <bgColor rgb="FFD4EDDA"/>
        </patternFill>
      </fill>
    </dxf>
    <dxf>
      <font>
        <b/>
        <sz val="10"/>
        <color rgb="FF721C24"/>
        <name val="Arial"/>
      </font>
      <fill>
        <patternFill patternType="solid">
          <fgColor rgb="FFF8D7DA"/>
          <bgColor rgb="FFF8D7DA"/>
        </patternFill>
      </fill>
    </dxf>
    <dxf>
      <font>
        <b/>
        <sz val="10"/>
        <color rgb="FF155724"/>
        <name val="Arial"/>
      </font>
      <fill>
        <patternFill patternType="solid">
          <fgColor rgb="FFD4EDDA"/>
          <bgColor rgb="FFD4EDDA"/>
        </patternFill>
      </fill>
    </dxf>
    <dxf>
      <font>
        <color rgb="FF9C5700"/>
      </font>
      <fill>
        <patternFill>
          <bgColor rgb="FFFFEB9C"/>
        </patternFill>
      </fill>
    </dxf>
    <dxf>
      <font>
        <b/>
        <sz val="10"/>
        <color rgb="FF721C24"/>
        <name val="Arial"/>
      </font>
      <fill>
        <patternFill patternType="solid">
          <fgColor rgb="FFF8D7DA"/>
          <bgColor rgb="FFF8D7DA"/>
        </patternFill>
      </fill>
    </dxf>
    <dxf>
      <font>
        <b/>
        <sz val="10"/>
        <color rgb="FF155724"/>
        <name val="Arial"/>
      </font>
      <fill>
        <patternFill patternType="solid">
          <fgColor rgb="FFD4EDDA"/>
          <bgColor rgb="FFD4EDDA"/>
        </patternFill>
      </fill>
    </dxf>
    <dxf>
      <font>
        <b/>
        <sz val="10"/>
        <color rgb="FF721C24"/>
        <name val="Arial"/>
      </font>
      <fill>
        <patternFill patternType="solid">
          <fgColor rgb="FFF8D7DA"/>
          <bgColor rgb="FFF8D7DA"/>
        </patternFill>
      </fill>
    </dxf>
    <dxf>
      <font>
        <b/>
        <sz val="10"/>
        <color rgb="FF155724"/>
        <name val="Arial"/>
      </font>
      <fill>
        <patternFill patternType="solid">
          <fgColor rgb="FFD4EDDA"/>
          <bgColor rgb="FFD4EDDA"/>
        </patternFill>
      </fill>
    </dxf>
    <dxf>
      <font>
        <color rgb="FF9C5700"/>
      </font>
      <fill>
        <patternFill>
          <bgColor rgb="FFFFEB9C"/>
        </patternFill>
      </fill>
    </dxf>
    <dxf>
      <font>
        <b/>
        <sz val="10"/>
        <color rgb="FF721C24"/>
        <name val="Arial"/>
      </font>
      <fill>
        <patternFill patternType="solid">
          <fgColor rgb="FFF8D7DA"/>
          <bgColor rgb="FFF8D7DA"/>
        </patternFill>
      </fill>
    </dxf>
    <dxf>
      <font>
        <b/>
        <sz val="10"/>
        <color rgb="FF155724"/>
        <name val="Arial"/>
      </font>
      <fill>
        <patternFill patternType="solid">
          <fgColor rgb="FFD4EDDA"/>
          <bgColor rgb="FFD4EDDA"/>
        </patternFill>
      </fill>
    </dxf>
    <dxf>
      <font>
        <b/>
        <sz val="10"/>
        <color rgb="FF721C24"/>
        <name val="Arial"/>
      </font>
      <fill>
        <patternFill patternType="solid">
          <fgColor rgb="FFF8D7DA"/>
          <bgColor rgb="FFF8D7DA"/>
        </patternFill>
      </fill>
    </dxf>
    <dxf>
      <font>
        <b/>
        <sz val="10"/>
        <color rgb="FF155724"/>
        <name val="Arial"/>
      </font>
      <fill>
        <patternFill patternType="solid">
          <fgColor rgb="FFD4EDDA"/>
          <bgColor rgb="FFD4EDDA"/>
        </patternFill>
      </fill>
    </dxf>
    <dxf>
      <font>
        <color rgb="FF9C5700"/>
      </font>
      <fill>
        <patternFill>
          <bgColor rgb="FFFFEB9C"/>
        </patternFill>
      </fill>
    </dxf>
    <dxf>
      <font>
        <b/>
        <sz val="10"/>
        <color rgb="FF721C24"/>
        <name val="Arial"/>
      </font>
      <fill>
        <patternFill patternType="solid">
          <fgColor rgb="FFF8D7DA"/>
          <bgColor rgb="FFF8D7DA"/>
        </patternFill>
      </fill>
    </dxf>
    <dxf>
      <font>
        <b/>
        <sz val="10"/>
        <color rgb="FF155724"/>
        <name val="Arial"/>
      </font>
      <fill>
        <patternFill patternType="solid">
          <fgColor rgb="FFD4EDDA"/>
          <bgColor rgb="FFD4EDDA"/>
        </patternFill>
      </fill>
    </dxf>
    <dxf>
      <font>
        <b/>
        <sz val="10"/>
        <color rgb="FF721C24"/>
        <name val="Arial"/>
      </font>
      <fill>
        <patternFill patternType="solid">
          <fgColor rgb="FFF8D7DA"/>
          <bgColor rgb="FFF8D7DA"/>
        </patternFill>
      </fill>
    </dxf>
    <dxf>
      <font>
        <b/>
        <sz val="10"/>
        <color rgb="FF155724"/>
        <name val="Arial"/>
      </font>
      <fill>
        <patternFill patternType="solid">
          <fgColor rgb="FFD4EDDA"/>
          <bgColor rgb="FFD4EDDA"/>
        </patternFill>
      </fill>
    </dxf>
    <dxf>
      <font>
        <b/>
        <sz val="10"/>
        <color rgb="FF721C24"/>
        <name val="Arial"/>
      </font>
      <fill>
        <patternFill patternType="solid">
          <fgColor rgb="FFF8D7DA"/>
          <bgColor rgb="FFF8D7DA"/>
        </patternFill>
      </fill>
    </dxf>
    <dxf>
      <font>
        <b/>
        <sz val="10"/>
        <color rgb="FF155724"/>
        <name val="Arial"/>
      </font>
      <fill>
        <patternFill patternType="solid">
          <fgColor rgb="FFD4EDDA"/>
          <bgColor rgb="FFD4EDDA"/>
        </patternFill>
      </fill>
    </dxf>
    <dxf>
      <font>
        <b/>
        <sz val="10"/>
        <color rgb="FF721C24"/>
        <name val="Arial"/>
      </font>
      <fill>
        <patternFill patternType="solid">
          <fgColor rgb="FFF8D7DA"/>
          <bgColor rgb="FFF8D7DA"/>
        </patternFill>
      </fill>
    </dxf>
    <dxf>
      <font>
        <b/>
        <sz val="10"/>
        <color rgb="FF155724"/>
        <name val="Arial"/>
      </font>
      <fill>
        <patternFill patternType="solid">
          <fgColor rgb="FFD4EDDA"/>
          <bgColor rgb="FFD4EDDA"/>
        </patternFill>
      </fill>
    </dxf>
    <dxf>
      <font>
        <b/>
        <sz val="10"/>
        <color rgb="FF721C24"/>
        <name val="Arial"/>
      </font>
      <fill>
        <patternFill patternType="solid">
          <fgColor rgb="FFF8D7DA"/>
          <bgColor rgb="FFF8D7DA"/>
        </patternFill>
      </fill>
    </dxf>
    <dxf>
      <font>
        <b/>
        <sz val="10"/>
        <color rgb="FF155724"/>
        <name val="Arial"/>
      </font>
      <fill>
        <patternFill patternType="solid">
          <fgColor rgb="FFD4EDDA"/>
          <bgColor rgb="FFD4ED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strike="noStrike" kern="1200" cap="all" spc="120" normalizeH="0" baseline="0">
                <a:solidFill>
                  <a:schemeClr val="tx1">
                    <a:lumMod val="65000"/>
                    <a:lumOff val="35000"/>
                  </a:schemeClr>
                </a:solidFill>
                <a:latin typeface="+mn-lt"/>
                <a:ea typeface="+mn-ea"/>
                <a:cs typeface="+mn-cs"/>
              </a:defRPr>
            </a:pPr>
            <a:r>
              <a:rPr lang="es-CO"/>
              <a:t>RENDIMIENTO INDIVIDUAL POR CORTE ACADÉMICO</a:t>
            </a:r>
          </a:p>
        </c:rich>
      </c:tx>
      <c:layout>
        <c:manualLayout>
          <c:xMode val="edge"/>
          <c:yMode val="edge"/>
          <c:x val="0.10860909090909091"/>
          <c:y val="0"/>
        </c:manualLayout>
      </c:layout>
      <c:overlay val="0"/>
      <c:spPr>
        <a:noFill/>
        <a:ln>
          <a:noFill/>
          <a:prstDash val="solid"/>
        </a:ln>
      </c:spPr>
    </c:title>
    <c:autoTitleDeleted val="0"/>
    <c:plotArea>
      <c:layout/>
      <c:barChart>
        <c:barDir val="col"/>
        <c:grouping val="clustered"/>
        <c:varyColors val="0"/>
        <c:ser>
          <c:idx val="0"/>
          <c:order val="0"/>
          <c:tx>
            <c:strRef>
              <c:f>Dashboard!$C$14</c:f>
              <c:strCache>
                <c:ptCount val="1"/>
                <c:pt idx="0">
                  <c:v>Nota Obtenida</c:v>
                </c:pt>
              </c:strCache>
            </c:strRef>
          </c:tx>
          <c:spPr>
            <a:solidFill>
              <a:schemeClr val="accent1"/>
            </a:solidFill>
            <a:ln>
              <a:noFill/>
              <a:prstDash val="solid"/>
            </a:ln>
          </c:spPr>
          <c:invertIfNegative val="0"/>
          <c:dLbls>
            <c:spPr>
              <a:noFill/>
              <a:ln>
                <a:noFill/>
                <a:prstDash val="solid"/>
              </a:ln>
            </c:spPr>
            <c:txPr>
              <a:bodyPr rot="-5400000" spcFirstLastPara="1" vertOverflow="clip" horzOverflow="clip" vert="horz" wrap="square" lIns="38100" tIns="19050" rIns="38100" bIns="19050" anchor="ctr" anchorCtr="1">
                <a:spAutoFit/>
              </a:bodyPr>
              <a:lstStyle/>
              <a:p>
                <a:pPr>
                  <a:defRPr sz="800" b="0" i="0"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trendline>
            <c:spPr>
              <a:ln w="19050" cap="rnd">
                <a:solidFill>
                  <a:schemeClr val="accent1"/>
                </a:solidFill>
                <a:prstDash val="sysDash"/>
              </a:ln>
            </c:spPr>
            <c:trendlineType val="linear"/>
            <c:dispRSqr val="0"/>
            <c:dispEq val="0"/>
          </c:trendline>
          <c:cat>
            <c:strRef>
              <c:f>Dashboard!$A$15:$A$17</c:f>
              <c:strCache>
                <c:ptCount val="3"/>
                <c:pt idx="0">
                  <c:v>Primer Corte</c:v>
                </c:pt>
                <c:pt idx="1">
                  <c:v>Segundo Corte</c:v>
                </c:pt>
                <c:pt idx="2">
                  <c:v>Tercer Corte</c:v>
                </c:pt>
              </c:strCache>
            </c:strRef>
          </c:cat>
          <c:val>
            <c:numRef>
              <c:f>Dashboard!$C$15:$C$17</c:f>
              <c:numCache>
                <c:formatCode>0.00</c:formatCode>
                <c:ptCount val="3"/>
                <c:pt idx="0">
                  <c:v>2.6333333333333333</c:v>
                </c:pt>
                <c:pt idx="1">
                  <c:v>2.5666666666666669</c:v>
                </c:pt>
                <c:pt idx="2">
                  <c:v>2</c:v>
                </c:pt>
              </c:numCache>
            </c:numRef>
          </c:val>
          <c:extLst>
            <c:ext xmlns:c16="http://schemas.microsoft.com/office/drawing/2014/chart" uri="{C3380CC4-5D6E-409C-BE32-E72D297353CC}">
              <c16:uniqueId val="{00000001-E8C7-45F2-95C9-616286973EF1}"/>
            </c:ext>
          </c:extLst>
        </c:ser>
        <c:dLbls>
          <c:dLblPos val="outEnd"/>
          <c:showLegendKey val="0"/>
          <c:showVal val="1"/>
          <c:showCatName val="0"/>
          <c:showSerName val="0"/>
          <c:showPercent val="0"/>
          <c:showBubbleSize val="0"/>
        </c:dLbls>
        <c:gapWidth val="444"/>
        <c:overlap val="-90"/>
        <c:axId val="10"/>
        <c:axId val="100"/>
      </c:barChart>
      <c:catAx>
        <c:axId val="10"/>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800" b="0" i="0" strike="noStrike" kern="1200" cap="all" spc="120" normalizeH="0" baseline="0">
                <a:solidFill>
                  <a:schemeClr val="tx1">
                    <a:lumMod val="65000"/>
                    <a:lumOff val="35000"/>
                  </a:schemeClr>
                </a:solidFill>
                <a:latin typeface="+mn-lt"/>
                <a:ea typeface="+mn-ea"/>
                <a:cs typeface="+mn-cs"/>
              </a:defRPr>
            </a:pPr>
            <a:endParaRPr lang="es-CO"/>
          </a:p>
        </c:txPr>
        <c:crossAx val="100"/>
        <c:crosses val="autoZero"/>
        <c:auto val="0"/>
        <c:lblAlgn val="ctr"/>
        <c:lblOffset val="100"/>
        <c:noMultiLvlLbl val="0"/>
      </c:catAx>
      <c:valAx>
        <c:axId val="100"/>
        <c:scaling>
          <c:orientation val="minMax"/>
        </c:scaling>
        <c:delete val="1"/>
        <c:axPos val="l"/>
        <c:title>
          <c:tx>
            <c:rich>
              <a:bodyPr rot="-5400000" spcFirstLastPara="1" vertOverflow="ellipsis" vert="horz" wrap="square" anchor="ctr" anchorCtr="1"/>
              <a:lstStyle/>
              <a:p>
                <a:pPr>
                  <a:defRPr sz="900" b="0" i="0" strike="noStrike" kern="1200" cap="all" baseline="0">
                    <a:solidFill>
                      <a:schemeClr val="tx1">
                        <a:lumMod val="65000"/>
                        <a:lumOff val="35000"/>
                      </a:schemeClr>
                    </a:solidFill>
                    <a:latin typeface="+mn-lt"/>
                    <a:ea typeface="+mn-ea"/>
                    <a:cs typeface="+mn-cs"/>
                  </a:defRPr>
                </a:pPr>
                <a:r>
                  <a:rPr lang="es-CO"/>
                  <a:t>Calificación (0.0 - 5.0)</a:t>
                </a:r>
              </a:p>
            </c:rich>
          </c:tx>
          <c:overlay val="0"/>
          <c:spPr>
            <a:noFill/>
            <a:ln>
              <a:noFill/>
              <a:prstDash val="solid"/>
            </a:ln>
          </c:spPr>
        </c:title>
        <c:numFmt formatCode="0.00" sourceLinked="1"/>
        <c:majorTickMark val="none"/>
        <c:minorTickMark val="none"/>
        <c:tickLblPos val="nextTo"/>
        <c:crossAx val="10"/>
        <c:crosses val="autoZero"/>
        <c:crossBetween val="between"/>
      </c:valAx>
    </c:plotArea>
    <c:plotVisOnly val="1"/>
    <c:dispBlanksAs val="gap"/>
    <c:showDLblsOverMax val="0"/>
  </c:chart>
  <c:spPr>
    <a:solidFill>
      <a:schemeClr val="lt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strike="noStrike" kern="1200" baseline="0">
                <a:solidFill>
                  <a:schemeClr val="dk1">
                    <a:lumMod val="75000"/>
                    <a:lumOff val="25000"/>
                  </a:schemeClr>
                </a:solidFill>
                <a:latin typeface="+mn-lt"/>
                <a:ea typeface="+mn-ea"/>
                <a:cs typeface="+mn-cs"/>
              </a:defRPr>
            </a:pPr>
            <a:r>
              <a:rPr lang="es-CO" sz="1400"/>
              <a:t>ANÁLISIS COMPARATIVO: ESTUDIANTE VS PROMEDIO DEL GRUPO POR RESUSLTADO</a:t>
            </a:r>
            <a:r>
              <a:rPr lang="es-CO" sz="1400" baseline="0"/>
              <a:t> DE </a:t>
            </a:r>
            <a:r>
              <a:rPr lang="es-CO" sz="1400"/>
              <a:t>APRENDIZAJE</a:t>
            </a:r>
          </a:p>
        </c:rich>
      </c:tx>
      <c:overlay val="0"/>
      <c:spPr>
        <a:noFill/>
        <a:ln>
          <a:noFill/>
          <a:prstDash val="solid"/>
        </a:ln>
      </c:spPr>
    </c:title>
    <c:autoTitleDeleted val="0"/>
    <c:plotArea>
      <c:layout/>
      <c:lineChart>
        <c:grouping val="standard"/>
        <c:varyColors val="0"/>
        <c:ser>
          <c:idx val="0"/>
          <c:order val="0"/>
          <c:tx>
            <c:strRef>
              <c:f>Dashboard!$AE$1</c:f>
              <c:strCache>
                <c:ptCount val="1"/>
                <c:pt idx="0">
                  <c:v>Promedio Grupo</c:v>
                </c:pt>
              </c:strCache>
            </c:strRef>
          </c:tx>
          <c:spPr>
            <a:ln w="31750" cap="rnd">
              <a:solidFill>
                <a:schemeClr val="accent1"/>
              </a:solidFill>
              <a:prstDash val="solid"/>
              <a:round/>
            </a:ln>
          </c:spPr>
          <c:marker>
            <c:symbol val="circle"/>
            <c:size val="17"/>
            <c:spPr>
              <a:solidFill>
                <a:schemeClr val="accent1"/>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Dashboard!$AD$2:$AD$4</c:f>
              <c:strCache>
                <c:ptCount val="3"/>
                <c:pt idx="0">
                  <c:v>RAP 1: Fundamentos (C1)</c:v>
                </c:pt>
                <c:pt idx="1">
                  <c:v>RAP 2: Aplicación (C2)</c:v>
                </c:pt>
                <c:pt idx="2">
                  <c:v>RAP 3: Integración (C3)</c:v>
                </c:pt>
              </c:strCache>
            </c:strRef>
          </c:cat>
          <c:val>
            <c:numRef>
              <c:f>Dashboard!$AE$2:$AE$4</c:f>
              <c:numCache>
                <c:formatCode>0.00</c:formatCode>
                <c:ptCount val="3"/>
                <c:pt idx="0">
                  <c:v>3.3454545454545457</c:v>
                </c:pt>
                <c:pt idx="1">
                  <c:v>3.7333333333333338</c:v>
                </c:pt>
                <c:pt idx="2">
                  <c:v>3.603030303030303</c:v>
                </c:pt>
              </c:numCache>
            </c:numRef>
          </c:val>
          <c:smooth val="0"/>
          <c:extLst>
            <c:ext xmlns:c16="http://schemas.microsoft.com/office/drawing/2014/chart" uri="{C3380CC4-5D6E-409C-BE32-E72D297353CC}">
              <c16:uniqueId val="{00000000-078A-487F-A041-9CC4801CDDD0}"/>
            </c:ext>
          </c:extLst>
        </c:ser>
        <c:ser>
          <c:idx val="1"/>
          <c:order val="1"/>
          <c:tx>
            <c:strRef>
              <c:f>Dashboard!$AF$1</c:f>
              <c:strCache>
                <c:ptCount val="1"/>
                <c:pt idx="0">
                  <c:v>Estudiante Seleccionado</c:v>
                </c:pt>
              </c:strCache>
            </c:strRef>
          </c:tx>
          <c:spPr>
            <a:ln w="31750" cap="rnd">
              <a:solidFill>
                <a:schemeClr val="accent2"/>
              </a:solidFill>
              <a:prstDash val="solid"/>
              <a:round/>
            </a:ln>
          </c:spPr>
          <c:marker>
            <c:symbol val="circle"/>
            <c:size val="17"/>
            <c:spPr>
              <a:solidFill>
                <a:schemeClr val="accent2"/>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Dashboard!$AD$2:$AD$4</c:f>
              <c:strCache>
                <c:ptCount val="3"/>
                <c:pt idx="0">
                  <c:v>RAP 1: Fundamentos (C1)</c:v>
                </c:pt>
                <c:pt idx="1">
                  <c:v>RAP 2: Aplicación (C2)</c:v>
                </c:pt>
                <c:pt idx="2">
                  <c:v>RAP 3: Integración (C3)</c:v>
                </c:pt>
              </c:strCache>
            </c:strRef>
          </c:cat>
          <c:val>
            <c:numRef>
              <c:f>Dashboard!$AF$2:$AF$4</c:f>
              <c:numCache>
                <c:formatCode>0.00</c:formatCode>
                <c:ptCount val="3"/>
                <c:pt idx="0">
                  <c:v>2.6333333333333333</c:v>
                </c:pt>
                <c:pt idx="1">
                  <c:v>2.5666666666666669</c:v>
                </c:pt>
                <c:pt idx="2">
                  <c:v>2</c:v>
                </c:pt>
              </c:numCache>
            </c:numRef>
          </c:val>
          <c:smooth val="0"/>
          <c:extLst>
            <c:ext xmlns:c16="http://schemas.microsoft.com/office/drawing/2014/chart" uri="{C3380CC4-5D6E-409C-BE32-E72D297353CC}">
              <c16:uniqueId val="{00000001-078A-487F-A041-9CC4801CDDD0}"/>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title>
          <c:tx>
            <c:rich>
              <a:bodyPr rot="0" spcFirstLastPara="1" vertOverflow="ellipsis" vert="horz" wrap="square" anchor="ctr" anchorCtr="1"/>
              <a:lstStyle/>
              <a:p>
                <a:pPr>
                  <a:defRPr sz="900" b="1" i="0" strike="noStrike" kern="1200" baseline="0">
                    <a:solidFill>
                      <a:schemeClr val="dk1">
                        <a:lumMod val="75000"/>
                        <a:lumOff val="25000"/>
                      </a:schemeClr>
                    </a:solidFill>
                    <a:latin typeface="+mn-lt"/>
                    <a:ea typeface="+mn-ea"/>
                    <a:cs typeface="+mn-cs"/>
                  </a:defRPr>
                </a:pPr>
                <a:r>
                  <a:rPr lang="es-CO"/>
                  <a:t>Resultados de Aprendizaje (RAP)</a:t>
                </a:r>
              </a:p>
            </c:rich>
          </c:tx>
          <c:overlay val="0"/>
          <c:spPr>
            <a:noFill/>
            <a:ln>
              <a:noFill/>
              <a:prstDash val="solid"/>
            </a:ln>
          </c:spPr>
        </c:title>
        <c:numFmt formatCode="General" sourceLinked="1"/>
        <c:majorTickMark val="none"/>
        <c:minorTickMark val="none"/>
        <c:tickLblPos val="nextTo"/>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900" b="0" i="0" strike="noStrike" kern="1200" cap="all" baseline="0">
                <a:solidFill>
                  <a:schemeClr val="dk1">
                    <a:lumMod val="75000"/>
                    <a:lumOff val="25000"/>
                  </a:schemeClr>
                </a:solidFill>
                <a:latin typeface="+mn-lt"/>
                <a:ea typeface="+mn-ea"/>
                <a:cs typeface="+mn-cs"/>
              </a:defRPr>
            </a:pPr>
            <a:endParaRPr lang="es-CO"/>
          </a:p>
        </c:txPr>
        <c:crossAx val="100"/>
        <c:crosses val="autoZero"/>
        <c:auto val="0"/>
        <c:lblAlgn val="ctr"/>
        <c:lblOffset val="100"/>
        <c:noMultiLvlLbl val="0"/>
      </c:catAx>
      <c:valAx>
        <c:axId val="100"/>
        <c:scaling>
          <c:orientation val="minMax"/>
        </c:scaling>
        <c:delete val="1"/>
        <c:axPos val="l"/>
        <c:majorGridlines>
          <c:spPr>
            <a:l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c:spPr>
        </c:majorGridlines>
        <c:title>
          <c:tx>
            <c:rich>
              <a:bodyPr rot="-5400000" spcFirstLastPara="1" vertOverflow="ellipsis" vert="horz" wrap="square" anchor="ctr" anchorCtr="1"/>
              <a:lstStyle/>
              <a:p>
                <a:pPr>
                  <a:defRPr sz="900" b="1" i="0" strike="noStrike" kern="1200" baseline="0">
                    <a:solidFill>
                      <a:schemeClr val="dk1">
                        <a:lumMod val="75000"/>
                        <a:lumOff val="25000"/>
                      </a:schemeClr>
                    </a:solidFill>
                    <a:latin typeface="+mn-lt"/>
                    <a:ea typeface="+mn-ea"/>
                    <a:cs typeface="+mn-cs"/>
                  </a:defRPr>
                </a:pPr>
                <a:r>
                  <a:rPr lang="es-CO"/>
                  <a:t>Calificación Académica</a:t>
                </a:r>
              </a:p>
            </c:rich>
          </c:tx>
          <c:overlay val="0"/>
          <c:spPr>
            <a:noFill/>
            <a:ln>
              <a:noFill/>
              <a:prstDash val="solid"/>
            </a:ln>
          </c:spPr>
        </c:title>
        <c:numFmt formatCode="0.00" sourceLinked="1"/>
        <c:majorTickMark val="none"/>
        <c:minorTickMark val="none"/>
        <c:tickLblPos val="nextTo"/>
        <c:crossAx val="10"/>
        <c:crosses val="autoZero"/>
        <c:crossBetween val="between"/>
      </c:valAx>
    </c:plotArea>
    <c:legend>
      <c:legendPos val="b"/>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s-CO"/>
        </a:p>
      </c:txPr>
    </c:legend>
    <c:plotVisOnly val="1"/>
    <c:dispBlanksAs val="gap"/>
    <c:showDLblsOverMax val="0"/>
  </c:chart>
  <c:spPr>
    <a:gradFill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8</xdr:col>
      <xdr:colOff>38100</xdr:colOff>
      <xdr:row>12</xdr:row>
      <xdr:rowOff>45720</xdr:rowOff>
    </xdr:from>
    <xdr:ext cx="4076700" cy="207264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38100</xdr:colOff>
      <xdr:row>0</xdr:row>
      <xdr:rowOff>22860</xdr:rowOff>
    </xdr:from>
    <xdr:ext cx="6431280" cy="277368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44"/>
  <sheetViews>
    <sheetView tabSelected="1" workbookViewId="0">
      <selection activeCell="P19" sqref="P19"/>
    </sheetView>
  </sheetViews>
  <sheetFormatPr baseColWidth="10" defaultColWidth="8.88671875" defaultRowHeight="14.4"/>
  <cols>
    <col min="1" max="1" width="30.44140625" customWidth="1"/>
    <col min="2" max="2" width="9.44140625" bestFit="1" customWidth="1"/>
    <col min="3" max="3" width="15.33203125" customWidth="1"/>
    <col min="4" max="5" width="12" hidden="1" customWidth="1"/>
    <col min="6" max="6" width="14.21875" customWidth="1"/>
    <col min="7" max="7" width="13.44140625" customWidth="1"/>
  </cols>
  <sheetData>
    <row r="1" spans="1:32" ht="16.8" customHeight="1">
      <c r="A1" s="18"/>
      <c r="B1" s="18"/>
      <c r="C1" s="18"/>
      <c r="D1" s="18"/>
      <c r="E1" s="18"/>
      <c r="F1" s="18"/>
      <c r="G1" s="18"/>
      <c r="H1" s="18"/>
      <c r="I1" s="18"/>
      <c r="J1" s="18"/>
      <c r="K1" s="18"/>
      <c r="L1" s="18"/>
      <c r="M1" s="18"/>
      <c r="N1" s="18"/>
      <c r="O1" s="18"/>
      <c r="P1" s="18"/>
      <c r="Q1" s="18"/>
      <c r="R1" s="18"/>
      <c r="S1" s="18"/>
      <c r="T1" s="18"/>
      <c r="U1" s="18"/>
      <c r="V1" s="18"/>
      <c r="W1" s="18"/>
      <c r="X1" s="18"/>
      <c r="Y1" s="18"/>
      <c r="Z1" s="18" t="s">
        <v>37</v>
      </c>
      <c r="AA1" s="18" t="s">
        <v>38</v>
      </c>
      <c r="AB1" s="18"/>
      <c r="AD1" t="s">
        <v>39</v>
      </c>
      <c r="AE1" t="s">
        <v>40</v>
      </c>
      <c r="AF1" t="s">
        <v>41</v>
      </c>
    </row>
    <row r="2" spans="1:32" ht="23.4" customHeight="1">
      <c r="A2" s="19" t="s">
        <v>42</v>
      </c>
      <c r="B2" s="18"/>
      <c r="C2" s="18"/>
      <c r="D2" s="18"/>
      <c r="E2" s="18"/>
      <c r="F2" s="18"/>
      <c r="G2" s="18"/>
      <c r="H2" s="18"/>
      <c r="I2" s="18"/>
      <c r="J2" s="18"/>
      <c r="K2" s="18"/>
      <c r="L2" s="18"/>
      <c r="M2" s="18"/>
      <c r="N2" s="18"/>
      <c r="O2" s="18"/>
      <c r="P2" s="18"/>
      <c r="Q2" s="18"/>
      <c r="R2" s="18"/>
      <c r="S2" s="18"/>
      <c r="T2" s="18"/>
      <c r="U2" s="18"/>
      <c r="V2" s="18"/>
      <c r="W2" s="18"/>
      <c r="X2" s="18"/>
      <c r="Y2" s="18"/>
      <c r="Z2" s="18" t="s">
        <v>43</v>
      </c>
      <c r="AA2" s="20">
        <f>AVERAGE(Base_Notas!G2:G95)</f>
        <v>3.3454545454545457</v>
      </c>
      <c r="AB2" s="18"/>
      <c r="AD2" t="s">
        <v>44</v>
      </c>
      <c r="AE2" s="35">
        <f>AVERAGE(Base_Notas!G2:G95)</f>
        <v>3.3454545454545457</v>
      </c>
      <c r="AF2" s="35">
        <f>VLOOKUP($A$12, Base_Notas!$B$2:$V$95, 6, FALSE)</f>
        <v>2.6333333333333333</v>
      </c>
    </row>
    <row r="3" spans="1:32" ht="16.8" customHeight="1">
      <c r="A3" s="22" t="s">
        <v>45</v>
      </c>
      <c r="B3" s="18"/>
      <c r="C3" s="18"/>
      <c r="D3" s="18"/>
      <c r="E3" s="18"/>
      <c r="F3" s="18"/>
      <c r="G3" s="18"/>
      <c r="H3" s="18"/>
      <c r="I3" s="18"/>
      <c r="J3" s="18"/>
      <c r="K3" s="18"/>
      <c r="L3" s="18"/>
      <c r="M3" s="18"/>
      <c r="N3" s="18"/>
      <c r="O3" s="18"/>
      <c r="P3" s="18"/>
      <c r="Q3" s="18"/>
      <c r="R3" s="18"/>
      <c r="S3" s="18"/>
      <c r="T3" s="18"/>
      <c r="U3" s="18"/>
      <c r="V3" s="18"/>
      <c r="W3" s="18"/>
      <c r="X3" s="18"/>
      <c r="Y3" s="18"/>
      <c r="Z3" s="18" t="s">
        <v>46</v>
      </c>
      <c r="AA3" s="20">
        <f>AVERAGE(Base_Notas!M2:M95)</f>
        <v>3.7333333333333338</v>
      </c>
      <c r="AB3" s="18"/>
      <c r="AD3" t="s">
        <v>47</v>
      </c>
      <c r="AE3" s="35">
        <f>AVERAGE(Base_Notas!M2:M95)</f>
        <v>3.7333333333333338</v>
      </c>
      <c r="AF3" s="35">
        <f>VLOOKUP($A$12, Base_Notas!$B$2:$V$95, 12, FALSE)</f>
        <v>2.5666666666666669</v>
      </c>
    </row>
    <row r="4" spans="1:32" ht="32.4" customHeight="1">
      <c r="A4" s="46" t="s">
        <v>48</v>
      </c>
      <c r="B4" s="53"/>
      <c r="C4" s="54" t="s">
        <v>49</v>
      </c>
      <c r="D4" s="53"/>
      <c r="E4" s="54" t="s">
        <v>50</v>
      </c>
      <c r="F4" s="53"/>
      <c r="G4" s="46" t="s">
        <v>51</v>
      </c>
      <c r="H4" s="18"/>
      <c r="I4" s="18"/>
      <c r="J4" s="18"/>
      <c r="K4" s="18"/>
      <c r="L4" s="18"/>
      <c r="M4" s="18"/>
      <c r="N4" s="18"/>
      <c r="O4" s="18"/>
      <c r="P4" s="18"/>
      <c r="Q4" s="18"/>
      <c r="R4" s="18"/>
      <c r="S4" s="18"/>
      <c r="T4" s="18"/>
      <c r="U4" s="18"/>
      <c r="V4" s="18"/>
      <c r="W4" s="18"/>
      <c r="X4" s="18"/>
      <c r="Y4" s="18"/>
      <c r="Z4" s="18" t="s">
        <v>52</v>
      </c>
      <c r="AA4" s="20">
        <f>AVERAGE(Base_Notas!S2:S95)</f>
        <v>3.603030303030303</v>
      </c>
      <c r="AB4" s="18"/>
      <c r="AD4" t="s">
        <v>53</v>
      </c>
      <c r="AE4" s="35">
        <f>AVERAGE(Base_Notas!S2:S95)</f>
        <v>3.603030303030303</v>
      </c>
      <c r="AF4" s="35">
        <f>VLOOKUP($A$12, Base_Notas!$B$2:$V$95, 18, FALSE)</f>
        <v>2</v>
      </c>
    </row>
    <row r="5" spans="1:32" ht="16.8" customHeight="1">
      <c r="A5" s="47">
        <f>COUNTA(Base_Notas!B2:B95)</f>
        <v>11</v>
      </c>
      <c r="B5" s="48"/>
      <c r="C5" s="64">
        <f>AVERAGE(Base_Notas!U2:U95)</f>
        <v>3.564848484848484</v>
      </c>
      <c r="D5" s="48"/>
      <c r="E5" s="47">
        <f>COUNTIF(Base_Notas!V2:V95, "Cumple Objetivos")</f>
        <v>9</v>
      </c>
      <c r="F5" s="48"/>
      <c r="G5" s="47">
        <f>COUNTIF(Base_Notas!V2:V95, "No Cumple")</f>
        <v>2</v>
      </c>
      <c r="H5" s="18"/>
      <c r="I5" s="18"/>
      <c r="J5" s="18"/>
      <c r="K5" s="18"/>
      <c r="L5" s="18"/>
      <c r="M5" s="18"/>
      <c r="N5" s="18"/>
      <c r="O5" s="18"/>
      <c r="P5" s="18"/>
      <c r="Q5" s="18"/>
      <c r="R5" s="18"/>
      <c r="S5" s="18"/>
      <c r="T5" s="18"/>
      <c r="U5" s="18"/>
      <c r="V5" s="18"/>
      <c r="W5" s="18"/>
      <c r="X5" s="18"/>
      <c r="Y5" s="18"/>
      <c r="Z5" s="18" t="s">
        <v>54</v>
      </c>
      <c r="AA5" s="20">
        <f>AVERAGE(Base_Notas!S2:S95)*0.95</f>
        <v>3.4228787878787879</v>
      </c>
      <c r="AB5" s="18"/>
    </row>
    <row r="6" spans="1:32" ht="17.399999999999999" customHeight="1">
      <c r="A6" s="49"/>
      <c r="B6" s="50"/>
      <c r="C6" s="49"/>
      <c r="D6" s="50"/>
      <c r="E6" s="49"/>
      <c r="F6" s="50"/>
      <c r="G6" s="61"/>
      <c r="H6" s="18"/>
      <c r="I6" s="18"/>
      <c r="J6" s="18"/>
      <c r="K6" s="18"/>
      <c r="L6" s="18"/>
      <c r="M6" s="18"/>
      <c r="N6" s="18"/>
      <c r="O6" s="18"/>
      <c r="P6" s="18"/>
      <c r="Q6" s="18"/>
      <c r="R6" s="18"/>
      <c r="S6" s="18"/>
      <c r="T6" s="18"/>
      <c r="U6" s="18"/>
      <c r="V6" s="18"/>
      <c r="W6" s="18"/>
      <c r="X6" s="18"/>
      <c r="Y6" s="18"/>
      <c r="Z6" s="18" t="s">
        <v>55</v>
      </c>
      <c r="AA6" s="20">
        <f>AVERAGE(Base_Notas!G2:G95)*1.02</f>
        <v>3.4123636363636365</v>
      </c>
      <c r="AB6" s="18"/>
    </row>
    <row r="7" spans="1:32" ht="16.8" customHeight="1">
      <c r="A7" s="18"/>
      <c r="B7" s="18"/>
      <c r="C7" s="21"/>
      <c r="D7" s="18"/>
      <c r="E7" s="18"/>
      <c r="F7" s="18"/>
      <c r="G7" s="18"/>
      <c r="H7" s="18"/>
      <c r="I7" s="18"/>
      <c r="J7" s="18"/>
      <c r="K7" s="18"/>
      <c r="L7" s="18"/>
      <c r="M7" s="18"/>
      <c r="N7" s="18"/>
      <c r="O7" s="18"/>
      <c r="P7" s="18"/>
      <c r="Q7" s="18"/>
      <c r="R7" s="18"/>
      <c r="S7" s="18"/>
      <c r="T7" s="18"/>
      <c r="U7" s="18"/>
      <c r="V7" s="18"/>
      <c r="W7" s="18"/>
      <c r="X7" s="18"/>
      <c r="Y7" s="18"/>
      <c r="Z7" s="18"/>
      <c r="AA7" s="18"/>
      <c r="AB7" s="18"/>
    </row>
    <row r="8" spans="1:32" ht="16.8" customHeight="1">
      <c r="A8" s="18"/>
      <c r="B8" s="18"/>
      <c r="C8" s="21"/>
      <c r="D8" s="18"/>
      <c r="E8" s="18"/>
      <c r="F8" s="18"/>
      <c r="G8" s="18"/>
      <c r="H8" s="18"/>
      <c r="I8" s="18"/>
      <c r="J8" s="18"/>
      <c r="K8" s="18"/>
      <c r="L8" s="18"/>
      <c r="M8" s="18"/>
      <c r="N8" s="18"/>
      <c r="O8" s="18"/>
      <c r="P8" s="18"/>
      <c r="Q8" s="18"/>
      <c r="R8" s="18"/>
      <c r="S8" s="18"/>
      <c r="T8" s="18"/>
      <c r="U8" s="18"/>
      <c r="V8" s="18"/>
      <c r="W8" s="18"/>
      <c r="X8" s="18"/>
      <c r="Y8" s="18"/>
      <c r="Z8" s="18"/>
      <c r="AA8" s="18"/>
      <c r="AB8" s="18"/>
    </row>
    <row r="9" spans="1:32" ht="15.6" customHeight="1">
      <c r="A9" s="55" t="s">
        <v>56</v>
      </c>
      <c r="B9" s="56"/>
      <c r="C9" s="56"/>
      <c r="D9" s="56"/>
      <c r="E9" s="18"/>
      <c r="F9" s="55" t="s">
        <v>57</v>
      </c>
      <c r="G9" s="56"/>
      <c r="H9" s="56"/>
      <c r="I9" s="18"/>
      <c r="J9" s="18"/>
      <c r="K9" s="18"/>
      <c r="L9" s="18"/>
      <c r="M9" s="18"/>
      <c r="N9" s="18"/>
      <c r="O9" s="18"/>
      <c r="P9" s="18"/>
      <c r="Q9" s="18"/>
      <c r="R9" s="18"/>
      <c r="S9" s="18"/>
      <c r="T9" s="18"/>
      <c r="U9" s="18"/>
      <c r="V9" s="18"/>
      <c r="W9" s="18"/>
      <c r="X9" s="18"/>
      <c r="Y9" s="18"/>
      <c r="Z9" s="18"/>
      <c r="AA9" s="18"/>
      <c r="AB9" s="18"/>
    </row>
    <row r="10" spans="1:32" ht="17.399999999999999" customHeight="1">
      <c r="A10" s="18"/>
      <c r="B10" s="18"/>
      <c r="C10" s="21"/>
      <c r="D10" s="18"/>
      <c r="E10" s="18"/>
      <c r="F10" s="18"/>
      <c r="G10" s="18"/>
      <c r="H10" s="18"/>
      <c r="I10" s="18"/>
      <c r="J10" s="18"/>
      <c r="K10" s="18"/>
      <c r="L10" s="18"/>
      <c r="M10" s="18"/>
      <c r="N10" s="18"/>
      <c r="O10" s="18"/>
      <c r="P10" s="18"/>
      <c r="Q10" s="18"/>
      <c r="R10" s="18"/>
      <c r="S10" s="18"/>
      <c r="T10" s="18"/>
      <c r="U10" s="18"/>
      <c r="V10" s="18"/>
      <c r="W10" s="18"/>
      <c r="X10" s="18"/>
      <c r="Y10" s="18"/>
      <c r="Z10" s="18"/>
      <c r="AA10" s="18"/>
      <c r="AB10" s="18"/>
    </row>
    <row r="11" spans="1:32" ht="15" customHeight="1">
      <c r="A11" s="66" t="s">
        <v>58</v>
      </c>
      <c r="B11" s="59"/>
      <c r="C11" s="59"/>
      <c r="D11" s="18"/>
      <c r="E11" s="18"/>
      <c r="F11" s="65" t="s">
        <v>59</v>
      </c>
      <c r="G11" s="52"/>
      <c r="H11" s="53"/>
      <c r="I11" s="18"/>
      <c r="J11" s="18"/>
      <c r="K11" s="18"/>
      <c r="L11" s="18"/>
      <c r="M11" s="18"/>
      <c r="N11" s="18"/>
      <c r="O11" s="18"/>
      <c r="P11" s="18"/>
      <c r="Q11" s="18"/>
      <c r="R11" s="18"/>
      <c r="S11" s="18"/>
      <c r="T11" s="18"/>
      <c r="U11" s="18"/>
      <c r="V11" s="18"/>
      <c r="W11" s="18"/>
      <c r="X11" s="18"/>
      <c r="Y11" s="18"/>
      <c r="Z11" s="18"/>
      <c r="AA11" s="18"/>
      <c r="AB11" s="18"/>
    </row>
    <row r="12" spans="1:32" ht="15" customHeight="1">
      <c r="A12" s="67" t="s">
        <v>105</v>
      </c>
      <c r="B12" s="52"/>
      <c r="C12" s="52"/>
      <c r="D12" s="53"/>
      <c r="E12" s="18"/>
      <c r="F12" s="60">
        <f>COUNTIF(Control_Asistencia!AK2:AK59, "Retirado")</f>
        <v>0</v>
      </c>
      <c r="G12" s="58"/>
      <c r="H12" s="48"/>
      <c r="I12" s="18"/>
      <c r="J12" s="18"/>
      <c r="K12" s="18"/>
      <c r="L12" s="18"/>
      <c r="M12" s="18"/>
      <c r="N12" s="18"/>
      <c r="O12" s="18"/>
      <c r="P12" s="18"/>
      <c r="Q12" s="18"/>
      <c r="R12" s="18"/>
      <c r="S12" s="18"/>
      <c r="T12" s="18"/>
      <c r="U12" s="18"/>
      <c r="V12" s="18"/>
      <c r="W12" s="18"/>
      <c r="X12" s="18"/>
      <c r="Y12" s="18"/>
      <c r="Z12" s="18"/>
      <c r="AA12" s="18"/>
      <c r="AB12" s="18"/>
    </row>
    <row r="13" spans="1:32" ht="16.8" customHeight="1">
      <c r="A13" s="21"/>
      <c r="B13" s="21"/>
      <c r="C13" s="21"/>
      <c r="D13" s="18"/>
      <c r="E13" s="18"/>
      <c r="F13" s="49"/>
      <c r="G13" s="59"/>
      <c r="H13" s="50"/>
      <c r="I13" s="18"/>
      <c r="J13" s="18"/>
      <c r="K13" s="18"/>
      <c r="L13" s="18"/>
      <c r="M13" s="18"/>
      <c r="N13" s="18"/>
      <c r="O13" s="18"/>
      <c r="P13" s="18"/>
      <c r="Q13" s="18"/>
      <c r="R13" s="18"/>
      <c r="S13" s="18"/>
      <c r="T13" s="18"/>
      <c r="U13" s="18"/>
      <c r="V13" s="18"/>
      <c r="W13" s="18"/>
      <c r="X13" s="18"/>
      <c r="Y13" s="18"/>
      <c r="Z13" s="18"/>
      <c r="AA13" s="18"/>
      <c r="AB13" s="18"/>
    </row>
    <row r="14" spans="1:32" ht="16.8" customHeight="1">
      <c r="A14" s="23" t="s">
        <v>61</v>
      </c>
      <c r="B14" s="24" t="s">
        <v>62</v>
      </c>
      <c r="C14" s="25" t="s">
        <v>63</v>
      </c>
      <c r="D14" s="25" t="s">
        <v>64</v>
      </c>
      <c r="E14" s="18"/>
      <c r="F14" s="62" t="s">
        <v>65</v>
      </c>
      <c r="G14" s="52"/>
      <c r="H14" s="53"/>
      <c r="I14" s="18"/>
      <c r="J14" s="18"/>
      <c r="K14" s="18"/>
      <c r="L14" s="18"/>
      <c r="M14" s="18"/>
      <c r="N14" s="18"/>
      <c r="O14" s="18"/>
      <c r="P14" s="18"/>
      <c r="Q14" s="18"/>
      <c r="R14" s="18"/>
      <c r="S14" s="18"/>
      <c r="T14" s="18"/>
      <c r="U14" s="18"/>
      <c r="V14" s="18"/>
      <c r="W14" s="18"/>
      <c r="X14" s="18"/>
      <c r="Y14" s="18"/>
      <c r="Z14" s="18"/>
      <c r="AA14" s="18"/>
      <c r="AB14" s="18"/>
    </row>
    <row r="15" spans="1:32" ht="16.8" customHeight="1">
      <c r="A15" s="26" t="s">
        <v>66</v>
      </c>
      <c r="B15" s="27" t="s">
        <v>67</v>
      </c>
      <c r="C15" s="28">
        <f>VLOOKUP($A$12, Base_Notas!$B$2:$V$95, 6, FALSE)</f>
        <v>2.6333333333333333</v>
      </c>
      <c r="D15" s="29" t="str">
        <f>VLOOKUP($A$12, Base_Notas!$B$2:$V$95, 7, FALSE)</f>
        <v>Reprobado</v>
      </c>
      <c r="E15" s="18"/>
      <c r="F15" s="57">
        <f>COUNTIF(Control_Asistencia!AK2:AK59, "Pérdida por Faltas")</f>
        <v>2</v>
      </c>
      <c r="G15" s="58"/>
      <c r="H15" s="48"/>
      <c r="I15" s="18"/>
      <c r="J15" s="18"/>
      <c r="K15" s="18"/>
      <c r="L15" s="18"/>
      <c r="M15" s="18"/>
      <c r="N15" s="18"/>
      <c r="O15" s="18"/>
      <c r="P15" s="18"/>
      <c r="Q15" s="18"/>
      <c r="R15" s="18"/>
      <c r="S15" s="18"/>
      <c r="T15" s="18"/>
      <c r="U15" s="18"/>
      <c r="V15" s="18"/>
      <c r="W15" s="18"/>
      <c r="X15" s="18"/>
      <c r="Y15" s="18"/>
      <c r="Z15" s="18"/>
      <c r="AA15" s="18"/>
      <c r="AB15" s="18"/>
    </row>
    <row r="16" spans="1:32" ht="15" customHeight="1">
      <c r="A16" s="26" t="s">
        <v>68</v>
      </c>
      <c r="B16" s="27" t="s">
        <v>67</v>
      </c>
      <c r="C16" s="28">
        <f>VLOOKUP($A$12, Base_Notas!$B$2:$V$95, 12, FALSE)</f>
        <v>2.5666666666666669</v>
      </c>
      <c r="D16" s="29" t="str">
        <f>VLOOKUP($A$12, Base_Notas!$B$2:$V$95, 13, FALSE)</f>
        <v>Reprobado</v>
      </c>
      <c r="E16" s="18"/>
      <c r="F16" s="49"/>
      <c r="G16" s="59"/>
      <c r="H16" s="50"/>
      <c r="I16" s="18"/>
      <c r="J16" s="18"/>
      <c r="K16" s="18"/>
      <c r="L16" s="18"/>
      <c r="M16" s="18"/>
      <c r="N16" s="18"/>
      <c r="O16" s="18"/>
      <c r="P16" s="18"/>
      <c r="Q16" s="18"/>
      <c r="R16" s="18"/>
      <c r="S16" s="18"/>
      <c r="T16" s="18"/>
      <c r="U16" s="18"/>
      <c r="V16" s="18"/>
      <c r="W16" s="18"/>
      <c r="X16" s="18"/>
      <c r="Y16" s="18"/>
      <c r="Z16" s="18"/>
      <c r="AA16" s="18"/>
      <c r="AB16" s="18"/>
    </row>
    <row r="17" spans="1:28" ht="15" customHeight="1">
      <c r="A17" s="26" t="s">
        <v>69</v>
      </c>
      <c r="B17" s="27" t="s">
        <v>70</v>
      </c>
      <c r="C17" s="28">
        <f>VLOOKUP($A$12, Base_Notas!$B$2:$V$95, 18, FALSE)</f>
        <v>2</v>
      </c>
      <c r="D17" s="29" t="str">
        <f>VLOOKUP($A$12, Base_Notas!$B$2:$V$95, 19, FALSE)</f>
        <v>Reprobado</v>
      </c>
      <c r="E17" s="18"/>
      <c r="F17" s="51" t="s">
        <v>71</v>
      </c>
      <c r="G17" s="52"/>
      <c r="H17" s="53"/>
      <c r="I17" s="18"/>
      <c r="J17" s="18"/>
      <c r="K17" s="18"/>
      <c r="L17" s="18"/>
      <c r="M17" s="18"/>
      <c r="N17" s="18"/>
      <c r="O17" s="18"/>
      <c r="P17" s="18"/>
      <c r="Q17" s="18"/>
      <c r="R17" s="18"/>
      <c r="S17" s="18"/>
      <c r="T17" s="18"/>
      <c r="U17" s="18"/>
      <c r="V17" s="18"/>
      <c r="W17" s="18"/>
      <c r="X17" s="18"/>
      <c r="Y17" s="18"/>
      <c r="Z17" s="18"/>
      <c r="AA17" s="18"/>
      <c r="AB17" s="18"/>
    </row>
    <row r="18" spans="1:28" ht="16.8" customHeight="1">
      <c r="A18" s="36" t="s">
        <v>72</v>
      </c>
      <c r="B18" s="30" t="s">
        <v>73</v>
      </c>
      <c r="C18" s="28">
        <f>VLOOKUP($A$12, Base_Notas!$B$2:$V$95, 20, FALSE)</f>
        <v>2.3600000000000003</v>
      </c>
      <c r="D18" s="29" t="str">
        <f>VLOOKUP($A$12, Base_Notas!$B$2:$V$95, 21, FALSE)</f>
        <v>No Cumple</v>
      </c>
      <c r="E18" s="18"/>
      <c r="F18" s="63">
        <f>COUNTIF(Control_Asistencia!AK2:AK59, "Regular")</f>
        <v>9</v>
      </c>
      <c r="G18" s="58"/>
      <c r="H18" s="48"/>
      <c r="I18" s="18"/>
      <c r="J18" s="18"/>
      <c r="K18" s="18"/>
      <c r="L18" s="18"/>
      <c r="M18" s="18"/>
      <c r="N18" s="18"/>
      <c r="O18" s="18"/>
      <c r="P18" s="18"/>
      <c r="Q18" s="18"/>
      <c r="R18" s="18"/>
      <c r="S18" s="18"/>
      <c r="T18" s="18"/>
      <c r="U18" s="18"/>
      <c r="V18" s="18"/>
      <c r="W18" s="18"/>
      <c r="X18" s="18"/>
      <c r="Y18" s="18"/>
      <c r="Z18" s="18"/>
      <c r="AA18" s="18"/>
      <c r="AB18" s="18"/>
    </row>
    <row r="19" spans="1:28" ht="15.6" customHeight="1">
      <c r="A19" s="68" t="s">
        <v>74</v>
      </c>
      <c r="B19" s="53"/>
      <c r="C19" s="29">
        <f>VLOOKUP($A$12, Control_Asistencia!$B$2:$AK$59, 34, FALSE)</f>
        <v>6</v>
      </c>
      <c r="D19" s="29" t="str">
        <f>VLOOKUP($A$12, Control_Asistencia!$B$2:$AK$59, 36, FALSE)</f>
        <v>Regular</v>
      </c>
      <c r="E19" s="18"/>
      <c r="F19" s="49"/>
      <c r="G19" s="59"/>
      <c r="H19" s="50"/>
      <c r="I19" s="18"/>
      <c r="J19" s="18"/>
      <c r="K19" s="18"/>
      <c r="L19" s="18"/>
      <c r="M19" s="18"/>
      <c r="N19" s="18"/>
      <c r="O19" s="18"/>
      <c r="P19" s="18"/>
      <c r="Q19" s="18"/>
      <c r="R19" s="18"/>
      <c r="S19" s="18"/>
      <c r="T19" s="18"/>
      <c r="U19" s="18"/>
      <c r="V19" s="18"/>
      <c r="W19" s="18"/>
      <c r="X19" s="18"/>
      <c r="Y19" s="18"/>
      <c r="Z19" s="18"/>
      <c r="AA19" s="18"/>
      <c r="AB19" s="18"/>
    </row>
    <row r="20" spans="1:28" ht="16.8" customHeight="1">
      <c r="A20" s="21"/>
      <c r="B20" s="21"/>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row>
    <row r="21" spans="1:28" ht="26.4" customHeight="1">
      <c r="A21" s="69" t="s">
        <v>75</v>
      </c>
      <c r="B21" s="56"/>
      <c r="C21" s="56"/>
      <c r="D21" s="56"/>
      <c r="E21" s="18"/>
      <c r="F21" s="18"/>
      <c r="G21" s="18"/>
      <c r="H21" s="18"/>
      <c r="I21" s="18"/>
      <c r="J21" s="18"/>
      <c r="K21" s="18"/>
      <c r="L21" s="18"/>
      <c r="M21" s="18"/>
      <c r="N21" s="18"/>
      <c r="O21" s="18"/>
      <c r="P21" s="18"/>
      <c r="Q21" s="18"/>
      <c r="R21" s="18"/>
      <c r="S21" s="18"/>
      <c r="T21" s="18"/>
      <c r="U21" s="18"/>
      <c r="V21" s="18"/>
      <c r="W21" s="18"/>
      <c r="X21" s="18"/>
      <c r="Y21" s="18"/>
      <c r="Z21" s="18"/>
      <c r="AA21" s="18"/>
      <c r="AB21" s="18"/>
    </row>
    <row r="22" spans="1:28" ht="16.8" customHeight="1">
      <c r="A22" s="31" t="s">
        <v>76</v>
      </c>
      <c r="B22" s="32" t="s">
        <v>77</v>
      </c>
      <c r="C22" s="37">
        <v>2.36</v>
      </c>
      <c r="D22" s="33" t="s">
        <v>78</v>
      </c>
      <c r="E22" s="18"/>
      <c r="F22" s="18"/>
      <c r="G22" s="18"/>
      <c r="H22" s="18"/>
      <c r="I22" s="18"/>
      <c r="J22" s="18"/>
      <c r="K22" s="18"/>
      <c r="L22" s="18"/>
      <c r="M22" s="18"/>
      <c r="N22" s="18"/>
      <c r="O22" s="18"/>
      <c r="P22" s="18"/>
      <c r="Q22" s="18"/>
      <c r="R22" s="18"/>
      <c r="S22" s="18"/>
      <c r="T22" s="18"/>
      <c r="U22" s="18"/>
      <c r="V22" s="18"/>
      <c r="W22" s="18"/>
      <c r="X22" s="18"/>
      <c r="Y22" s="18"/>
      <c r="Z22" s="18"/>
      <c r="AA22" s="18"/>
      <c r="AB22" s="18"/>
    </row>
    <row r="23" spans="1:28" ht="16.8" customHeight="1">
      <c r="A23" s="31" t="s">
        <v>79</v>
      </c>
      <c r="B23" s="32" t="s">
        <v>77</v>
      </c>
      <c r="C23" s="37">
        <v>2.72</v>
      </c>
      <c r="D23" s="33" t="s">
        <v>78</v>
      </c>
      <c r="E23" s="18"/>
      <c r="F23" s="18"/>
      <c r="G23" s="18"/>
      <c r="H23" s="18"/>
      <c r="I23" s="18"/>
      <c r="J23" s="18"/>
      <c r="K23" s="18"/>
      <c r="L23" s="18"/>
      <c r="M23" s="18"/>
      <c r="N23" s="18"/>
      <c r="O23" s="18"/>
      <c r="P23" s="18"/>
      <c r="Q23" s="18"/>
      <c r="R23" s="18"/>
      <c r="S23" s="18"/>
      <c r="T23" s="18"/>
      <c r="U23" s="18"/>
      <c r="V23" s="18"/>
      <c r="W23" s="18"/>
      <c r="X23" s="18"/>
      <c r="Y23" s="18"/>
      <c r="Z23" s="18"/>
      <c r="AA23" s="18"/>
      <c r="AB23" s="18"/>
    </row>
    <row r="24" spans="1:28" ht="39.6" customHeight="1">
      <c r="A24" s="34"/>
      <c r="B24" s="17"/>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row>
    <row r="25" spans="1:28" ht="26.4" customHeight="1">
      <c r="A25" s="34"/>
      <c r="B25" s="17"/>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row>
    <row r="26" spans="1:28" ht="16.8"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row>
    <row r="27" spans="1:28" ht="16.8"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row>
    <row r="28" spans="1:28" ht="16.8"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row>
    <row r="29" spans="1:28" ht="16.8"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row>
    <row r="30" spans="1:28" ht="16.8"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row>
    <row r="31" spans="1:28" ht="16.8"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row>
    <row r="32" spans="1:28" ht="16.8"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row>
    <row r="33" spans="1:28" ht="16.8"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row>
    <row r="34" spans="1:28" ht="16.8"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row>
    <row r="35" spans="1:28" ht="16.8"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row>
    <row r="36" spans="1:28" ht="16.8"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row>
    <row r="37" spans="1:28" ht="16.8"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row>
    <row r="38" spans="1:28" ht="16.8"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row>
    <row r="39" spans="1:28" ht="16.8"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row>
    <row r="40" spans="1:28" ht="16.8"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row>
    <row r="41" spans="1:28" ht="16.8"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row>
    <row r="42" spans="1:28" ht="16.8"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row>
    <row r="43" spans="1:28" ht="16.8"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row>
    <row r="44" spans="1:28" ht="16.8"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row>
  </sheetData>
  <mergeCells count="20">
    <mergeCell ref="A21:D21"/>
    <mergeCell ref="F18:H19"/>
    <mergeCell ref="C5:D6"/>
    <mergeCell ref="E5:F6"/>
    <mergeCell ref="F11:H11"/>
    <mergeCell ref="A4:B4"/>
    <mergeCell ref="A11:C11"/>
    <mergeCell ref="A12:D12"/>
    <mergeCell ref="A19:B19"/>
    <mergeCell ref="G4"/>
    <mergeCell ref="A5:B6"/>
    <mergeCell ref="F17:H17"/>
    <mergeCell ref="C4:D4"/>
    <mergeCell ref="E4:F4"/>
    <mergeCell ref="A9:D9"/>
    <mergeCell ref="F15:H16"/>
    <mergeCell ref="F9:H9"/>
    <mergeCell ref="F12:H13"/>
    <mergeCell ref="G5:G6"/>
    <mergeCell ref="F14:H14"/>
  </mergeCells>
  <conditionalFormatting sqref="B14:B17">
    <cfRule type="cellIs" dxfId="32" priority="7" operator="greaterThanOrEqual">
      <formula>3</formula>
    </cfRule>
    <cfRule type="cellIs" dxfId="31" priority="8" operator="lessThan">
      <formula>3</formula>
    </cfRule>
  </conditionalFormatting>
  <conditionalFormatting sqref="B21:B25">
    <cfRule type="cellIs" dxfId="30" priority="1" operator="equal">
      <formula>"Logrado"</formula>
    </cfRule>
    <cfRule type="cellIs" dxfId="29" priority="2" operator="equal">
      <formula>"En Proceso"</formula>
    </cfRule>
  </conditionalFormatting>
  <conditionalFormatting sqref="C14:C16">
    <cfRule type="cellIs" dxfId="28" priority="3" operator="equal">
      <formula>"Aprobado"</formula>
    </cfRule>
    <cfRule type="cellIs" dxfId="27" priority="4" operator="equal">
      <formula>"Reprobado"</formula>
    </cfRule>
  </conditionalFormatting>
  <conditionalFormatting sqref="C17">
    <cfRule type="cellIs" dxfId="26" priority="5" operator="equal">
      <formula>"Cumple Objetivos"</formula>
    </cfRule>
    <cfRule type="cellIs" dxfId="25" priority="6" operator="equal">
      <formula>"No Cumple"</formula>
    </cfRule>
  </conditionalFormatting>
  <conditionalFormatting sqref="G11">
    <cfRule type="cellIs" dxfId="24" priority="10" operator="equal">
      <formula>"Regular"</formula>
    </cfRule>
    <cfRule type="cellIs" dxfId="23" priority="10" operator="equal">
      <formula>"Pérdida por Faltas"</formula>
    </cfRule>
  </conditionalFormatting>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xr:uid="{00000000-0002-0000-0000-000000000000}">
          <x14:formula1>
            <xm:f>Base_Notas!$B$2:$B$100</xm:f>
          </x14:formula1>
          <xm:sqref>A12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2"/>
  <sheetViews>
    <sheetView workbookViewId="0">
      <selection activeCell="E21" sqref="E21"/>
    </sheetView>
  </sheetViews>
  <sheetFormatPr baseColWidth="10" defaultColWidth="8.88671875" defaultRowHeight="14.4"/>
  <cols>
    <col min="1" max="1" width="15" customWidth="1"/>
    <col min="2" max="2" width="35.6640625" bestFit="1" customWidth="1"/>
    <col min="3" max="5" width="6.77734375" customWidth="1"/>
    <col min="6" max="6" width="8.77734375" customWidth="1"/>
    <col min="7" max="7" width="7.77734375" customWidth="1"/>
    <col min="8" max="8" width="9.77734375" customWidth="1"/>
    <col min="9" max="11" width="6.77734375" customWidth="1"/>
    <col min="12" max="12" width="8.77734375" customWidth="1"/>
    <col min="13" max="13" width="7.77734375" customWidth="1"/>
    <col min="14" max="14" width="9.77734375" customWidth="1"/>
    <col min="15" max="17" width="6.77734375" customWidth="1"/>
    <col min="18" max="18" width="8.77734375" customWidth="1"/>
    <col min="19" max="19" width="7.77734375" customWidth="1"/>
    <col min="20" max="20" width="9.77734375" customWidth="1"/>
    <col min="21" max="21" width="10.77734375" bestFit="1" customWidth="1"/>
    <col min="22" max="22" width="20.33203125" bestFit="1" customWidth="1"/>
    <col min="23" max="23" width="21.5546875" bestFit="1" customWidth="1"/>
  </cols>
  <sheetData>
    <row r="1" spans="1:22" ht="26.4" customHeight="1">
      <c r="A1" s="6" t="s">
        <v>0</v>
      </c>
      <c r="B1" s="6" t="s">
        <v>1</v>
      </c>
      <c r="C1" s="6" t="s">
        <v>80</v>
      </c>
      <c r="D1" s="6" t="s">
        <v>81</v>
      </c>
      <c r="E1" s="6" t="s">
        <v>82</v>
      </c>
      <c r="F1" s="9" t="s">
        <v>83</v>
      </c>
      <c r="G1" s="10" t="s">
        <v>84</v>
      </c>
      <c r="H1" s="11" t="s">
        <v>85</v>
      </c>
      <c r="I1" s="6" t="s">
        <v>86</v>
      </c>
      <c r="J1" s="6" t="s">
        <v>87</v>
      </c>
      <c r="K1" s="6" t="s">
        <v>88</v>
      </c>
      <c r="L1" s="9" t="s">
        <v>89</v>
      </c>
      <c r="M1" s="10" t="s">
        <v>90</v>
      </c>
      <c r="N1" s="11" t="s">
        <v>91</v>
      </c>
      <c r="O1" s="6" t="s">
        <v>92</v>
      </c>
      <c r="P1" s="6" t="s">
        <v>93</v>
      </c>
      <c r="Q1" s="6" t="s">
        <v>94</v>
      </c>
      <c r="R1" s="9" t="s">
        <v>95</v>
      </c>
      <c r="S1" s="10" t="s">
        <v>96</v>
      </c>
      <c r="T1" s="11" t="s">
        <v>97</v>
      </c>
      <c r="U1" s="13" t="s">
        <v>72</v>
      </c>
      <c r="V1" s="6" t="s">
        <v>98</v>
      </c>
    </row>
    <row r="2" spans="1:22">
      <c r="A2" s="38" t="s">
        <v>99</v>
      </c>
      <c r="B2" s="7" t="s">
        <v>60</v>
      </c>
      <c r="C2" s="8">
        <v>4.2</v>
      </c>
      <c r="D2" s="8">
        <v>3.8</v>
      </c>
      <c r="E2" s="8">
        <v>4.5</v>
      </c>
      <c r="F2" s="8">
        <f t="shared" ref="F2:F12" si="0">AVERAGE(C2:E2)</f>
        <v>4.166666666666667</v>
      </c>
      <c r="G2" s="12">
        <f t="shared" ref="G2:G12" si="1">F2</f>
        <v>4.166666666666667</v>
      </c>
      <c r="H2" s="8" t="str">
        <f t="shared" ref="H2:H12" si="2">IF(G2&gt;=3, "Aprobado", "Reprobado")</f>
        <v>Aprobado</v>
      </c>
      <c r="I2" s="8">
        <v>3.5</v>
      </c>
      <c r="J2" s="8">
        <v>4</v>
      </c>
      <c r="K2" s="8">
        <v>3.8</v>
      </c>
      <c r="L2" s="8">
        <f t="shared" ref="L2:L12" si="3">AVERAGE(I2:K2)</f>
        <v>3.7666666666666671</v>
      </c>
      <c r="M2" s="12">
        <f t="shared" ref="M2:M12" si="4">L2</f>
        <v>3.7666666666666671</v>
      </c>
      <c r="N2" s="8" t="str">
        <f t="shared" ref="N2:N12" si="5">IF(M2&gt;=3, "Aprobado", "Reprobado")</f>
        <v>Aprobado</v>
      </c>
      <c r="O2" s="8">
        <v>4.0999999999999996</v>
      </c>
      <c r="P2" s="8">
        <v>4.3</v>
      </c>
      <c r="Q2" s="8">
        <v>3.6</v>
      </c>
      <c r="R2" s="8">
        <f t="shared" ref="R2:R12" si="6">AVERAGE(O2:Q2)</f>
        <v>3.9999999999999996</v>
      </c>
      <c r="S2" s="12">
        <f t="shared" ref="S2:S12" si="7">R2</f>
        <v>3.9999999999999996</v>
      </c>
      <c r="T2" s="8" t="str">
        <f t="shared" ref="T2:T12" si="8">IF(S2&gt;=3, "Aprobado", "Reprobado")</f>
        <v>Aprobado</v>
      </c>
      <c r="U2" s="12">
        <f t="shared" ref="U2:U12" si="9">(G2*0.3)+(L2*0.3)+(R2*0.4)</f>
        <v>3.9799999999999995</v>
      </c>
      <c r="V2" s="7" t="str">
        <f t="shared" ref="V2:V12" si="10">IF(U2&gt;=3, "Cumple Objetivos", "No Cumple")</f>
        <v>Cumple Objetivos</v>
      </c>
    </row>
    <row r="3" spans="1:22">
      <c r="A3" s="38" t="s">
        <v>100</v>
      </c>
      <c r="B3" s="7" t="s">
        <v>101</v>
      </c>
      <c r="C3" s="8">
        <v>3</v>
      </c>
      <c r="D3" s="8">
        <v>2.5</v>
      </c>
      <c r="E3" s="8">
        <v>3.2</v>
      </c>
      <c r="F3" s="8">
        <f t="shared" si="0"/>
        <v>2.9</v>
      </c>
      <c r="G3" s="12">
        <f t="shared" si="1"/>
        <v>2.9</v>
      </c>
      <c r="H3" s="8" t="str">
        <f t="shared" si="2"/>
        <v>Reprobado</v>
      </c>
      <c r="I3" s="8">
        <v>3.1</v>
      </c>
      <c r="J3" s="8">
        <v>2.8</v>
      </c>
      <c r="K3" s="8">
        <v>3.4</v>
      </c>
      <c r="L3" s="8">
        <f t="shared" si="3"/>
        <v>3.1</v>
      </c>
      <c r="M3" s="12">
        <f t="shared" si="4"/>
        <v>3.1</v>
      </c>
      <c r="N3" s="8" t="str">
        <f t="shared" si="5"/>
        <v>Aprobado</v>
      </c>
      <c r="O3" s="8">
        <v>4</v>
      </c>
      <c r="P3" s="8">
        <v>3.5</v>
      </c>
      <c r="Q3" s="8">
        <v>3.3</v>
      </c>
      <c r="R3" s="8">
        <f t="shared" si="6"/>
        <v>3.6</v>
      </c>
      <c r="S3" s="12">
        <f t="shared" si="7"/>
        <v>3.6</v>
      </c>
      <c r="T3" s="8" t="str">
        <f t="shared" si="8"/>
        <v>Aprobado</v>
      </c>
      <c r="U3" s="12">
        <f t="shared" si="9"/>
        <v>3.24</v>
      </c>
      <c r="V3" s="7" t="str">
        <f t="shared" si="10"/>
        <v>Cumple Objetivos</v>
      </c>
    </row>
    <row r="4" spans="1:22">
      <c r="A4" s="38" t="s">
        <v>102</v>
      </c>
      <c r="B4" s="7" t="s">
        <v>103</v>
      </c>
      <c r="C4" s="8">
        <v>5</v>
      </c>
      <c r="D4" s="8">
        <v>4.8</v>
      </c>
      <c r="E4" s="8">
        <v>4.9000000000000004</v>
      </c>
      <c r="F4" s="8">
        <f t="shared" si="0"/>
        <v>4.9000000000000004</v>
      </c>
      <c r="G4" s="12">
        <f t="shared" si="1"/>
        <v>4.9000000000000004</v>
      </c>
      <c r="H4" s="8" t="str">
        <f t="shared" si="2"/>
        <v>Aprobado</v>
      </c>
      <c r="I4" s="8">
        <v>4.5</v>
      </c>
      <c r="J4" s="8">
        <v>4.7</v>
      </c>
      <c r="K4" s="8">
        <v>5</v>
      </c>
      <c r="L4" s="8">
        <f t="shared" si="3"/>
        <v>4.7333333333333334</v>
      </c>
      <c r="M4" s="12">
        <f t="shared" si="4"/>
        <v>4.7333333333333334</v>
      </c>
      <c r="N4" s="8" t="str">
        <f t="shared" si="5"/>
        <v>Aprobado</v>
      </c>
      <c r="O4" s="8">
        <v>4.8</v>
      </c>
      <c r="P4" s="8">
        <v>4.9000000000000004</v>
      </c>
      <c r="Q4" s="8">
        <v>5</v>
      </c>
      <c r="R4" s="8">
        <f t="shared" si="6"/>
        <v>4.8999999999999995</v>
      </c>
      <c r="S4" s="12">
        <f t="shared" si="7"/>
        <v>4.8999999999999995</v>
      </c>
      <c r="T4" s="8" t="str">
        <f t="shared" si="8"/>
        <v>Aprobado</v>
      </c>
      <c r="U4" s="12">
        <f t="shared" si="9"/>
        <v>4.8499999999999996</v>
      </c>
      <c r="V4" s="7" t="str">
        <f t="shared" si="10"/>
        <v>Cumple Objetivos</v>
      </c>
    </row>
    <row r="5" spans="1:22">
      <c r="A5" s="38" t="s">
        <v>104</v>
      </c>
      <c r="B5" s="7" t="s">
        <v>105</v>
      </c>
      <c r="C5" s="8">
        <v>2.1</v>
      </c>
      <c r="D5" s="8">
        <v>3</v>
      </c>
      <c r="E5" s="8">
        <v>2.8</v>
      </c>
      <c r="F5" s="8">
        <f t="shared" si="0"/>
        <v>2.6333333333333333</v>
      </c>
      <c r="G5" s="12">
        <f t="shared" si="1"/>
        <v>2.6333333333333333</v>
      </c>
      <c r="H5" s="8" t="str">
        <f t="shared" si="2"/>
        <v>Reprobado</v>
      </c>
      <c r="I5" s="8">
        <v>2.5</v>
      </c>
      <c r="J5" s="8">
        <v>2.2000000000000002</v>
      </c>
      <c r="K5" s="8">
        <v>3</v>
      </c>
      <c r="L5" s="8">
        <f t="shared" si="3"/>
        <v>2.5666666666666669</v>
      </c>
      <c r="M5" s="12">
        <f t="shared" si="4"/>
        <v>2.5666666666666669</v>
      </c>
      <c r="N5" s="8" t="str">
        <f t="shared" si="5"/>
        <v>Reprobado</v>
      </c>
      <c r="O5" s="8">
        <v>3.1</v>
      </c>
      <c r="P5" s="8">
        <v>2.9</v>
      </c>
      <c r="Q5" s="8">
        <v>0</v>
      </c>
      <c r="R5" s="8">
        <f t="shared" si="6"/>
        <v>2</v>
      </c>
      <c r="S5" s="12">
        <f t="shared" si="7"/>
        <v>2</v>
      </c>
      <c r="T5" s="8" t="str">
        <f t="shared" si="8"/>
        <v>Reprobado</v>
      </c>
      <c r="U5" s="12">
        <f t="shared" si="9"/>
        <v>2.3600000000000003</v>
      </c>
      <c r="V5" s="7" t="str">
        <f t="shared" si="10"/>
        <v>No Cumple</v>
      </c>
    </row>
    <row r="6" spans="1:22">
      <c r="A6" s="38" t="s">
        <v>106</v>
      </c>
      <c r="B6" s="7" t="s">
        <v>107</v>
      </c>
      <c r="C6" s="8">
        <v>4</v>
      </c>
      <c r="D6" s="8">
        <v>4.2</v>
      </c>
      <c r="E6" s="8">
        <v>3.9</v>
      </c>
      <c r="F6" s="8">
        <f t="shared" si="0"/>
        <v>4.0333333333333332</v>
      </c>
      <c r="G6" s="12">
        <f t="shared" si="1"/>
        <v>4.0333333333333332</v>
      </c>
      <c r="H6" s="8" t="str">
        <f t="shared" si="2"/>
        <v>Aprobado</v>
      </c>
      <c r="I6" s="8">
        <v>4.0999999999999996</v>
      </c>
      <c r="J6" s="8">
        <v>3.8</v>
      </c>
      <c r="K6" s="8">
        <v>4.3</v>
      </c>
      <c r="L6" s="8">
        <f t="shared" si="3"/>
        <v>4.0666666666666664</v>
      </c>
      <c r="M6" s="12">
        <f t="shared" si="4"/>
        <v>4.0666666666666664</v>
      </c>
      <c r="N6" s="8" t="str">
        <f t="shared" si="5"/>
        <v>Aprobado</v>
      </c>
      <c r="O6" s="8">
        <v>4.2</v>
      </c>
      <c r="P6" s="8">
        <v>4</v>
      </c>
      <c r="Q6" s="8">
        <v>2.1</v>
      </c>
      <c r="R6" s="8">
        <f t="shared" si="6"/>
        <v>3.4333333333333331</v>
      </c>
      <c r="S6" s="12">
        <f t="shared" si="7"/>
        <v>3.4333333333333331</v>
      </c>
      <c r="T6" s="8" t="str">
        <f t="shared" si="8"/>
        <v>Aprobado</v>
      </c>
      <c r="U6" s="12">
        <f t="shared" si="9"/>
        <v>3.8033333333333328</v>
      </c>
      <c r="V6" s="7" t="str">
        <f t="shared" si="10"/>
        <v>Cumple Objetivos</v>
      </c>
    </row>
    <row r="7" spans="1:22">
      <c r="A7" s="38" t="s">
        <v>108</v>
      </c>
      <c r="B7" s="7" t="s">
        <v>109</v>
      </c>
      <c r="C7" s="8">
        <v>3.5</v>
      </c>
      <c r="D7" s="8">
        <v>3.2</v>
      </c>
      <c r="E7" s="8">
        <v>3.8</v>
      </c>
      <c r="F7" s="8">
        <f t="shared" si="0"/>
        <v>3.5</v>
      </c>
      <c r="G7" s="12">
        <f t="shared" si="1"/>
        <v>3.5</v>
      </c>
      <c r="H7" s="8" t="str">
        <f t="shared" si="2"/>
        <v>Aprobado</v>
      </c>
      <c r="I7" s="8">
        <v>3.9</v>
      </c>
      <c r="J7" s="8">
        <v>4.0999999999999996</v>
      </c>
      <c r="K7" s="8">
        <v>3.7</v>
      </c>
      <c r="L7" s="8">
        <f t="shared" si="3"/>
        <v>3.9</v>
      </c>
      <c r="M7" s="12">
        <f t="shared" si="4"/>
        <v>3.9</v>
      </c>
      <c r="N7" s="8" t="str">
        <f t="shared" si="5"/>
        <v>Aprobado</v>
      </c>
      <c r="O7" s="8">
        <v>4</v>
      </c>
      <c r="P7" s="8">
        <v>3.8</v>
      </c>
      <c r="Q7" s="8">
        <v>1</v>
      </c>
      <c r="R7" s="8">
        <f t="shared" si="6"/>
        <v>2.9333333333333336</v>
      </c>
      <c r="S7" s="12">
        <f t="shared" si="7"/>
        <v>2.9333333333333336</v>
      </c>
      <c r="T7" s="8" t="str">
        <f t="shared" si="8"/>
        <v>Reprobado</v>
      </c>
      <c r="U7" s="12">
        <f t="shared" si="9"/>
        <v>3.3933333333333335</v>
      </c>
      <c r="V7" s="7" t="str">
        <f t="shared" si="10"/>
        <v>Cumple Objetivos</v>
      </c>
    </row>
    <row r="8" spans="1:22">
      <c r="A8" s="38" t="s">
        <v>110</v>
      </c>
      <c r="B8" s="7" t="s">
        <v>111</v>
      </c>
      <c r="C8" s="8">
        <v>1.5</v>
      </c>
      <c r="D8" s="8">
        <v>2</v>
      </c>
      <c r="E8" s="8">
        <v>2.5</v>
      </c>
      <c r="F8" s="8">
        <f t="shared" si="0"/>
        <v>2</v>
      </c>
      <c r="G8" s="12">
        <f t="shared" si="1"/>
        <v>2</v>
      </c>
      <c r="H8" s="8" t="str">
        <f t="shared" si="2"/>
        <v>Reprobado</v>
      </c>
      <c r="I8" s="8">
        <v>3</v>
      </c>
      <c r="J8" s="8">
        <v>2.8</v>
      </c>
      <c r="K8" s="8">
        <v>3.1</v>
      </c>
      <c r="L8" s="8">
        <f t="shared" si="3"/>
        <v>2.9666666666666668</v>
      </c>
      <c r="M8" s="12">
        <f t="shared" si="4"/>
        <v>2.9666666666666668</v>
      </c>
      <c r="N8" s="8" t="str">
        <f t="shared" si="5"/>
        <v>Reprobado</v>
      </c>
      <c r="O8" s="8">
        <v>3.5</v>
      </c>
      <c r="P8" s="8">
        <v>3.2</v>
      </c>
      <c r="Q8" s="8">
        <v>2.5</v>
      </c>
      <c r="R8" s="8">
        <f t="shared" si="6"/>
        <v>3.0666666666666664</v>
      </c>
      <c r="S8" s="12">
        <f t="shared" si="7"/>
        <v>3.0666666666666664</v>
      </c>
      <c r="T8" s="8" t="str">
        <f t="shared" si="8"/>
        <v>Aprobado</v>
      </c>
      <c r="U8" s="12">
        <f t="shared" si="9"/>
        <v>2.7166666666666668</v>
      </c>
      <c r="V8" s="7" t="str">
        <f t="shared" si="10"/>
        <v>No Cumple</v>
      </c>
    </row>
    <row r="9" spans="1:22">
      <c r="A9" s="38" t="s">
        <v>112</v>
      </c>
      <c r="B9" s="7" t="s">
        <v>113</v>
      </c>
      <c r="C9" s="8">
        <v>4.5</v>
      </c>
      <c r="D9" s="8">
        <v>4.3</v>
      </c>
      <c r="E9" s="8">
        <v>4.5999999999999996</v>
      </c>
      <c r="F9" s="8">
        <f t="shared" si="0"/>
        <v>4.4666666666666668</v>
      </c>
      <c r="G9" s="12">
        <f t="shared" si="1"/>
        <v>4.4666666666666668</v>
      </c>
      <c r="H9" s="8" t="str">
        <f t="shared" si="2"/>
        <v>Aprobado</v>
      </c>
      <c r="I9" s="8">
        <v>4.2</v>
      </c>
      <c r="J9" s="8">
        <v>4.5</v>
      </c>
      <c r="K9" s="8">
        <v>4.4000000000000004</v>
      </c>
      <c r="L9" s="8">
        <f t="shared" si="3"/>
        <v>4.3666666666666663</v>
      </c>
      <c r="M9" s="12">
        <f t="shared" si="4"/>
        <v>4.3666666666666663</v>
      </c>
      <c r="N9" s="8" t="str">
        <f t="shared" si="5"/>
        <v>Aprobado</v>
      </c>
      <c r="O9" s="8">
        <v>4.7</v>
      </c>
      <c r="P9" s="8">
        <v>4.5999999999999996</v>
      </c>
      <c r="Q9" s="8">
        <v>2</v>
      </c>
      <c r="R9" s="8">
        <f t="shared" si="6"/>
        <v>3.7666666666666671</v>
      </c>
      <c r="S9" s="12">
        <f t="shared" si="7"/>
        <v>3.7666666666666671</v>
      </c>
      <c r="T9" s="8" t="str">
        <f t="shared" si="8"/>
        <v>Aprobado</v>
      </c>
      <c r="U9" s="12">
        <f t="shared" si="9"/>
        <v>4.1566666666666663</v>
      </c>
      <c r="V9" s="7" t="str">
        <f t="shared" si="10"/>
        <v>Cumple Objetivos</v>
      </c>
    </row>
    <row r="10" spans="1:22">
      <c r="A10" s="38" t="s">
        <v>114</v>
      </c>
      <c r="B10" s="7" t="s">
        <v>115</v>
      </c>
      <c r="C10" s="8">
        <v>3.8</v>
      </c>
      <c r="D10" s="8">
        <v>3.9</v>
      </c>
      <c r="E10" s="8">
        <v>4.0999999999999996</v>
      </c>
      <c r="F10" s="8">
        <f t="shared" si="0"/>
        <v>3.9333333333333331</v>
      </c>
      <c r="G10" s="12">
        <f t="shared" si="1"/>
        <v>3.9333333333333331</v>
      </c>
      <c r="H10" s="8" t="str">
        <f t="shared" si="2"/>
        <v>Aprobado</v>
      </c>
      <c r="I10" s="8">
        <v>3.7</v>
      </c>
      <c r="J10" s="8">
        <v>4</v>
      </c>
      <c r="K10" s="8">
        <v>3.9</v>
      </c>
      <c r="L10" s="8">
        <f t="shared" si="3"/>
        <v>3.8666666666666667</v>
      </c>
      <c r="M10" s="12">
        <f t="shared" si="4"/>
        <v>3.8666666666666667</v>
      </c>
      <c r="N10" s="8" t="str">
        <f t="shared" si="5"/>
        <v>Aprobado</v>
      </c>
      <c r="O10" s="8">
        <v>4.0999999999999996</v>
      </c>
      <c r="P10" s="8">
        <v>4.2</v>
      </c>
      <c r="Q10" s="8">
        <v>3</v>
      </c>
      <c r="R10" s="8">
        <f t="shared" si="6"/>
        <v>3.7666666666666671</v>
      </c>
      <c r="S10" s="12">
        <f t="shared" si="7"/>
        <v>3.7666666666666671</v>
      </c>
      <c r="T10" s="8" t="str">
        <f t="shared" si="8"/>
        <v>Aprobado</v>
      </c>
      <c r="U10" s="12">
        <f t="shared" si="9"/>
        <v>3.8466666666666667</v>
      </c>
      <c r="V10" s="7" t="str">
        <f t="shared" si="10"/>
        <v>Cumple Objetivos</v>
      </c>
    </row>
    <row r="11" spans="1:22">
      <c r="A11" s="38" t="s">
        <v>116</v>
      </c>
      <c r="B11" s="7" t="s">
        <v>117</v>
      </c>
      <c r="C11" s="8">
        <v>2.8</v>
      </c>
      <c r="D11" s="8">
        <v>3.1</v>
      </c>
      <c r="E11" s="8">
        <v>2.9</v>
      </c>
      <c r="F11" s="8">
        <f t="shared" si="0"/>
        <v>2.9333333333333336</v>
      </c>
      <c r="G11" s="12">
        <f t="shared" si="1"/>
        <v>2.9333333333333336</v>
      </c>
      <c r="H11" s="8" t="str">
        <f t="shared" si="2"/>
        <v>Reprobado</v>
      </c>
      <c r="I11" s="8">
        <v>3.2</v>
      </c>
      <c r="J11" s="8">
        <v>2.9</v>
      </c>
      <c r="K11" s="8">
        <v>3.1</v>
      </c>
      <c r="L11" s="8">
        <f t="shared" si="3"/>
        <v>3.0666666666666664</v>
      </c>
      <c r="M11" s="12">
        <f t="shared" si="4"/>
        <v>3.0666666666666664</v>
      </c>
      <c r="N11" s="8" t="str">
        <f t="shared" si="5"/>
        <v>Aprobado</v>
      </c>
      <c r="O11" s="8">
        <v>3</v>
      </c>
      <c r="P11" s="8">
        <v>3.3</v>
      </c>
      <c r="Q11" s="8">
        <v>3.2</v>
      </c>
      <c r="R11" s="8">
        <f t="shared" si="6"/>
        <v>3.1666666666666665</v>
      </c>
      <c r="S11" s="12">
        <f t="shared" si="7"/>
        <v>3.1666666666666665</v>
      </c>
      <c r="T11" s="8" t="str">
        <f t="shared" si="8"/>
        <v>Aprobado</v>
      </c>
      <c r="U11" s="12">
        <f t="shared" si="9"/>
        <v>3.0666666666666664</v>
      </c>
      <c r="V11" s="7" t="str">
        <f t="shared" si="10"/>
        <v>Cumple Objetivos</v>
      </c>
    </row>
    <row r="12" spans="1:22">
      <c r="A12" s="39" t="s">
        <v>118</v>
      </c>
      <c r="B12" s="14" t="s">
        <v>119</v>
      </c>
      <c r="C12" s="15">
        <v>1</v>
      </c>
      <c r="D12" s="15">
        <v>2</v>
      </c>
      <c r="E12" s="15">
        <v>1</v>
      </c>
      <c r="F12" s="15">
        <f t="shared" si="0"/>
        <v>1.3333333333333333</v>
      </c>
      <c r="G12" s="16">
        <f t="shared" si="1"/>
        <v>1.3333333333333333</v>
      </c>
      <c r="H12" s="15" t="str">
        <f t="shared" si="2"/>
        <v>Reprobado</v>
      </c>
      <c r="I12" s="15">
        <v>4</v>
      </c>
      <c r="J12" s="15">
        <v>5</v>
      </c>
      <c r="K12" s="15">
        <v>5</v>
      </c>
      <c r="L12" s="15">
        <f t="shared" si="3"/>
        <v>4.666666666666667</v>
      </c>
      <c r="M12" s="16">
        <f t="shared" si="4"/>
        <v>4.666666666666667</v>
      </c>
      <c r="N12" s="15" t="str">
        <f t="shared" si="5"/>
        <v>Aprobado</v>
      </c>
      <c r="O12" s="15">
        <v>5</v>
      </c>
      <c r="P12" s="15">
        <v>5</v>
      </c>
      <c r="Q12" s="15">
        <v>5</v>
      </c>
      <c r="R12" s="15">
        <f t="shared" si="6"/>
        <v>5</v>
      </c>
      <c r="S12" s="16">
        <f t="shared" si="7"/>
        <v>5</v>
      </c>
      <c r="T12" s="15" t="str">
        <f t="shared" si="8"/>
        <v>Aprobado</v>
      </c>
      <c r="U12" s="16">
        <f t="shared" si="9"/>
        <v>3.8</v>
      </c>
      <c r="V12" s="14" t="str">
        <f t="shared" si="10"/>
        <v>Cumple Objetivos</v>
      </c>
    </row>
  </sheetData>
  <conditionalFormatting sqref="H2:H12">
    <cfRule type="containsText" dxfId="22" priority="4" operator="containsText" text="Aprobado">
      <formula>NOT(ISERROR(SEARCH("Aprobado",H2)))</formula>
    </cfRule>
    <cfRule type="cellIs" dxfId="21" priority="11" operator="greaterThanOrEqual">
      <formula>3</formula>
    </cfRule>
    <cfRule type="cellIs" dxfId="20" priority="12" operator="lessThan">
      <formula>3</formula>
    </cfRule>
  </conditionalFormatting>
  <conditionalFormatting sqref="I2:I12">
    <cfRule type="cellIs" dxfId="19" priority="7" operator="equal">
      <formula>"Aprobado"</formula>
    </cfRule>
    <cfRule type="cellIs" dxfId="18" priority="8" operator="equal">
      <formula>"Reprobado"</formula>
    </cfRule>
  </conditionalFormatting>
  <conditionalFormatting sqref="N2:N12">
    <cfRule type="containsText" dxfId="17" priority="3" operator="containsText" text="Aprobado">
      <formula>NOT(ISERROR(SEARCH("Aprobado",N2)))</formula>
    </cfRule>
    <cfRule type="cellIs" dxfId="16" priority="13" operator="greaterThanOrEqual">
      <formula>3</formula>
    </cfRule>
    <cfRule type="cellIs" dxfId="15" priority="13" operator="lessThan">
      <formula>3</formula>
    </cfRule>
  </conditionalFormatting>
  <conditionalFormatting sqref="O2:O12">
    <cfRule type="cellIs" dxfId="14" priority="14" operator="equal">
      <formula>"Aprobado"</formula>
    </cfRule>
    <cfRule type="cellIs" dxfId="13" priority="14" operator="equal">
      <formula>"Reprobado"</formula>
    </cfRule>
  </conditionalFormatting>
  <conditionalFormatting sqref="T2:T12">
    <cfRule type="containsText" dxfId="12" priority="2" operator="containsText" text="Aprobado">
      <formula>NOT(ISERROR(SEARCH("Aprobado",T2)))</formula>
    </cfRule>
    <cfRule type="cellIs" dxfId="11" priority="15" operator="greaterThanOrEqual">
      <formula>3</formula>
    </cfRule>
    <cfRule type="cellIs" dxfId="10" priority="15" operator="lessThan">
      <formula>3</formula>
    </cfRule>
  </conditionalFormatting>
  <conditionalFormatting sqref="U2:U12">
    <cfRule type="cellIs" dxfId="9" priority="16" operator="equal">
      <formula>"Aprobado"</formula>
    </cfRule>
    <cfRule type="cellIs" dxfId="8" priority="16" operator="equal">
      <formula>"Reprobado"</formula>
    </cfRule>
  </conditionalFormatting>
  <conditionalFormatting sqref="V2:V12">
    <cfRule type="containsText" dxfId="7" priority="1" operator="containsText" text="Cumple Objetivos">
      <formula>NOT(ISERROR(SEARCH("Cumple Objetivos",V2)))</formula>
    </cfRule>
    <cfRule type="cellIs" dxfId="6" priority="17" operator="greaterThanOrEqual">
      <formula>3</formula>
    </cfRule>
    <cfRule type="cellIs" dxfId="5" priority="17" operator="lessThan">
      <formula>3</formula>
    </cfRule>
  </conditionalFormatting>
  <conditionalFormatting sqref="W2:W11">
    <cfRule type="cellIs" dxfId="4" priority="19" operator="equal">
      <formula>"Cumple Objetivos"</formula>
    </cfRule>
    <cfRule type="cellIs" dxfId="3" priority="20" operator="equal">
      <formula>"No Cumple"</formula>
    </cfRule>
  </conditionalFormatting>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58"/>
  <sheetViews>
    <sheetView workbookViewId="0">
      <selection activeCell="AK22" sqref="AK22"/>
    </sheetView>
  </sheetViews>
  <sheetFormatPr baseColWidth="10" defaultColWidth="8.88671875" defaultRowHeight="14.4"/>
  <cols>
    <col min="1" max="1" width="15" customWidth="1"/>
    <col min="2" max="2" width="38" bestFit="1" customWidth="1"/>
    <col min="3" max="34" width="4.77734375" customWidth="1"/>
    <col min="35" max="35" width="6" bestFit="1" customWidth="1"/>
    <col min="36" max="36" width="9.88671875" bestFit="1" customWidth="1"/>
    <col min="37" max="37" width="16.6640625" bestFit="1" customWidth="1"/>
    <col min="38" max="38" width="15.5546875" customWidth="1"/>
  </cols>
  <sheetData>
    <row r="1" spans="1:37" ht="39.6" customHeight="1">
      <c r="A1" s="43" t="s">
        <v>0</v>
      </c>
      <c r="B1" s="43" t="s">
        <v>1</v>
      </c>
      <c r="C1" s="43" t="s">
        <v>2</v>
      </c>
      <c r="D1" s="43" t="s">
        <v>3</v>
      </c>
      <c r="E1" s="43" t="s">
        <v>4</v>
      </c>
      <c r="F1" s="43" t="s">
        <v>5</v>
      </c>
      <c r="G1" s="43" t="s">
        <v>6</v>
      </c>
      <c r="H1" s="43" t="s">
        <v>7</v>
      </c>
      <c r="I1" s="43" t="s">
        <v>8</v>
      </c>
      <c r="J1" s="43" t="s">
        <v>9</v>
      </c>
      <c r="K1" s="43" t="s">
        <v>10</v>
      </c>
      <c r="L1" s="43" t="s">
        <v>11</v>
      </c>
      <c r="M1" s="43" t="s">
        <v>12</v>
      </c>
      <c r="N1" s="43" t="s">
        <v>13</v>
      </c>
      <c r="O1" s="43" t="s">
        <v>14</v>
      </c>
      <c r="P1" s="43" t="s">
        <v>15</v>
      </c>
      <c r="Q1" s="43" t="s">
        <v>16</v>
      </c>
      <c r="R1" s="43" t="s">
        <v>17</v>
      </c>
      <c r="S1" s="43" t="s">
        <v>18</v>
      </c>
      <c r="T1" s="43" t="s">
        <v>19</v>
      </c>
      <c r="U1" s="43" t="s">
        <v>20</v>
      </c>
      <c r="V1" s="43" t="s">
        <v>21</v>
      </c>
      <c r="W1" s="43" t="s">
        <v>22</v>
      </c>
      <c r="X1" s="43" t="s">
        <v>23</v>
      </c>
      <c r="Y1" s="43" t="s">
        <v>24</v>
      </c>
      <c r="Z1" s="43" t="s">
        <v>25</v>
      </c>
      <c r="AA1" s="43" t="s">
        <v>26</v>
      </c>
      <c r="AB1" s="43" t="s">
        <v>27</v>
      </c>
      <c r="AC1" s="43" t="s">
        <v>28</v>
      </c>
      <c r="AD1" s="43" t="s">
        <v>29</v>
      </c>
      <c r="AE1" s="43" t="s">
        <v>30</v>
      </c>
      <c r="AF1" s="43" t="s">
        <v>31</v>
      </c>
      <c r="AG1" s="43" t="s">
        <v>32</v>
      </c>
      <c r="AH1" s="43" t="s">
        <v>33</v>
      </c>
      <c r="AI1" s="43" t="s">
        <v>34</v>
      </c>
      <c r="AJ1" s="43" t="s">
        <v>35</v>
      </c>
      <c r="AK1" s="43" t="s">
        <v>36</v>
      </c>
    </row>
    <row r="2" spans="1:37" ht="15">
      <c r="A2" s="7" t="str">
        <f>IF(Base_Notas!A2&lt;&gt;"", Base_Notas!A2, "")</f>
        <v>2251405028</v>
      </c>
      <c r="B2" s="7" t="str">
        <f>IF(Base_Notas!B2&lt;&gt;"", Base_Notas!B2, "")</f>
        <v>BARCENAS PORTILLA ANDRES FELIPE</v>
      </c>
      <c r="C2" s="44">
        <v>0</v>
      </c>
      <c r="D2" s="44">
        <v>0</v>
      </c>
      <c r="E2" s="44">
        <v>0</v>
      </c>
      <c r="F2" s="44">
        <v>0</v>
      </c>
      <c r="G2" s="44">
        <v>0</v>
      </c>
      <c r="H2" s="44">
        <v>0</v>
      </c>
      <c r="I2" s="44">
        <v>0</v>
      </c>
      <c r="J2" s="44">
        <v>0</v>
      </c>
      <c r="K2" s="44">
        <v>0</v>
      </c>
      <c r="L2" s="44">
        <v>0</v>
      </c>
      <c r="M2" s="44">
        <v>0</v>
      </c>
      <c r="N2" s="44">
        <v>0</v>
      </c>
      <c r="O2" s="44">
        <v>0</v>
      </c>
      <c r="P2" s="44">
        <v>0</v>
      </c>
      <c r="Q2" s="44">
        <v>0</v>
      </c>
      <c r="R2" s="44">
        <v>0</v>
      </c>
      <c r="S2" s="44">
        <v>0</v>
      </c>
      <c r="T2" s="44">
        <v>0</v>
      </c>
      <c r="U2" s="44">
        <v>0</v>
      </c>
      <c r="V2" s="44">
        <v>0</v>
      </c>
      <c r="W2" s="44">
        <v>0</v>
      </c>
      <c r="X2" s="44">
        <v>0</v>
      </c>
      <c r="Y2" s="44">
        <v>0</v>
      </c>
      <c r="Z2" s="44">
        <v>0</v>
      </c>
      <c r="AA2" s="44">
        <v>0</v>
      </c>
      <c r="AB2" s="44">
        <v>0</v>
      </c>
      <c r="AC2" s="44">
        <v>0</v>
      </c>
      <c r="AD2" s="44">
        <v>0</v>
      </c>
      <c r="AE2" s="44">
        <v>0</v>
      </c>
      <c r="AF2" s="44">
        <v>0</v>
      </c>
      <c r="AG2" s="44">
        <v>0</v>
      </c>
      <c r="AH2" s="44">
        <v>0</v>
      </c>
      <c r="AI2" s="7">
        <f t="shared" ref="AI2:AI12" si="0">IF(B2&lt;&gt;"", SUMIF(C2:AH2, 1), "")</f>
        <v>0</v>
      </c>
      <c r="AJ2" s="12">
        <f t="shared" ref="AJ2:AJ12" si="1">IF(B2&lt;&gt;"", AI2/32, "")</f>
        <v>0</v>
      </c>
      <c r="AK2" s="7" t="str">
        <f t="shared" ref="AK2:AK12" si="2">IF(B2="", "", IF(AJ2&gt;0.2, "Pérdida por Faltas", "Regular"))</f>
        <v>Regular</v>
      </c>
    </row>
    <row r="3" spans="1:37" ht="15">
      <c r="A3" s="7" t="str">
        <f>IF(Base_Notas!A3&lt;&gt;"", Base_Notas!A3, "")</f>
        <v>2251405014</v>
      </c>
      <c r="B3" s="7" t="str">
        <f>IF(Base_Notas!B3&lt;&gt;"", Base_Notas!B3, "")</f>
        <v>BENAVIDES CUASTUZA YENELYN DANIELA</v>
      </c>
      <c r="C3" s="45">
        <v>1</v>
      </c>
      <c r="D3" s="44">
        <v>0</v>
      </c>
      <c r="E3" s="45">
        <v>1</v>
      </c>
      <c r="F3" s="44">
        <v>0</v>
      </c>
      <c r="G3" s="45">
        <v>1</v>
      </c>
      <c r="H3" s="44">
        <v>0</v>
      </c>
      <c r="I3" s="45">
        <v>1</v>
      </c>
      <c r="J3" s="44">
        <v>0</v>
      </c>
      <c r="K3" s="45">
        <v>1</v>
      </c>
      <c r="L3" s="44">
        <v>0</v>
      </c>
      <c r="M3" s="45">
        <v>1</v>
      </c>
      <c r="N3" s="44">
        <v>0</v>
      </c>
      <c r="O3" s="45">
        <v>1</v>
      </c>
      <c r="P3" s="44">
        <v>0</v>
      </c>
      <c r="Q3" s="45">
        <v>1</v>
      </c>
      <c r="R3" s="44">
        <v>0</v>
      </c>
      <c r="S3" s="45">
        <v>1</v>
      </c>
      <c r="T3" s="44">
        <v>0</v>
      </c>
      <c r="U3" s="45">
        <v>1</v>
      </c>
      <c r="V3" s="44">
        <v>0</v>
      </c>
      <c r="W3" s="45">
        <v>1</v>
      </c>
      <c r="X3" s="44">
        <v>0</v>
      </c>
      <c r="Y3" s="45">
        <v>1</v>
      </c>
      <c r="Z3" s="44">
        <v>0</v>
      </c>
      <c r="AA3" s="45">
        <v>1</v>
      </c>
      <c r="AB3" s="44">
        <v>0</v>
      </c>
      <c r="AC3" s="45">
        <v>1</v>
      </c>
      <c r="AD3" s="44">
        <v>0</v>
      </c>
      <c r="AE3" s="45">
        <v>1</v>
      </c>
      <c r="AF3" s="44">
        <v>0</v>
      </c>
      <c r="AG3" s="45">
        <v>1</v>
      </c>
      <c r="AH3" s="44">
        <v>0</v>
      </c>
      <c r="AI3" s="7">
        <f t="shared" si="0"/>
        <v>16</v>
      </c>
      <c r="AJ3" s="12">
        <f t="shared" si="1"/>
        <v>0.5</v>
      </c>
      <c r="AK3" s="7" t="str">
        <f t="shared" si="2"/>
        <v>Pérdida por Faltas</v>
      </c>
    </row>
    <row r="4" spans="1:37" ht="15">
      <c r="A4" s="7" t="str">
        <f>IF(Base_Notas!A4&lt;&gt;"", Base_Notas!A4, "")</f>
        <v>2251405026</v>
      </c>
      <c r="B4" s="7" t="str">
        <f>IF(Base_Notas!B4&lt;&gt;"", Base_Notas!B4, "")</f>
        <v>CHIRAN ROJAS MARIO ANDRES</v>
      </c>
      <c r="C4" s="44">
        <v>0</v>
      </c>
      <c r="D4" s="44">
        <v>0</v>
      </c>
      <c r="E4" s="44">
        <v>0</v>
      </c>
      <c r="F4" s="44">
        <v>0</v>
      </c>
      <c r="G4" s="44">
        <v>0</v>
      </c>
      <c r="H4" s="44">
        <v>0</v>
      </c>
      <c r="I4" s="44">
        <v>0</v>
      </c>
      <c r="J4" s="44">
        <v>0</v>
      </c>
      <c r="K4" s="44">
        <v>0</v>
      </c>
      <c r="L4" s="44">
        <v>0</v>
      </c>
      <c r="M4" s="44">
        <v>0</v>
      </c>
      <c r="N4" s="44">
        <v>0</v>
      </c>
      <c r="O4" s="44">
        <v>0</v>
      </c>
      <c r="P4" s="44">
        <v>0</v>
      </c>
      <c r="Q4" s="44">
        <v>0</v>
      </c>
      <c r="R4" s="44">
        <v>0</v>
      </c>
      <c r="S4" s="44">
        <v>0</v>
      </c>
      <c r="T4" s="44">
        <v>0</v>
      </c>
      <c r="U4" s="44">
        <v>0</v>
      </c>
      <c r="V4" s="44">
        <v>0</v>
      </c>
      <c r="W4" s="44">
        <v>0</v>
      </c>
      <c r="X4" s="44">
        <v>0</v>
      </c>
      <c r="Y4" s="44">
        <v>0</v>
      </c>
      <c r="Z4" s="44">
        <v>0</v>
      </c>
      <c r="AA4" s="44">
        <v>0</v>
      </c>
      <c r="AB4" s="44">
        <v>0</v>
      </c>
      <c r="AC4" s="44">
        <v>0</v>
      </c>
      <c r="AD4" s="44">
        <v>0</v>
      </c>
      <c r="AE4" s="44">
        <v>0</v>
      </c>
      <c r="AF4" s="44">
        <v>0</v>
      </c>
      <c r="AG4" s="44">
        <v>0</v>
      </c>
      <c r="AH4" s="44">
        <v>0</v>
      </c>
      <c r="AI4" s="7">
        <f t="shared" si="0"/>
        <v>0</v>
      </c>
      <c r="AJ4" s="12">
        <f t="shared" si="1"/>
        <v>0</v>
      </c>
      <c r="AK4" s="7" t="str">
        <f t="shared" si="2"/>
        <v>Regular</v>
      </c>
    </row>
    <row r="5" spans="1:37" ht="15">
      <c r="A5" s="7" t="str">
        <f>IF(Base_Notas!A5&lt;&gt;"", Base_Notas!A5, "")</f>
        <v>2251405030</v>
      </c>
      <c r="B5" s="7" t="str">
        <f>IF(Base_Notas!B5&lt;&gt;"", Base_Notas!B5, "")</f>
        <v>ENRIQUEZ ORTIZ JUAN DIEGO</v>
      </c>
      <c r="C5" s="45">
        <v>1</v>
      </c>
      <c r="D5" s="45">
        <v>1</v>
      </c>
      <c r="E5" s="45">
        <v>1</v>
      </c>
      <c r="F5" s="44">
        <v>0</v>
      </c>
      <c r="G5" s="45">
        <v>1</v>
      </c>
      <c r="H5" s="45">
        <v>1</v>
      </c>
      <c r="I5" s="45">
        <v>1</v>
      </c>
      <c r="J5" s="44">
        <v>0</v>
      </c>
      <c r="K5" s="44">
        <v>0</v>
      </c>
      <c r="L5" s="44">
        <v>0</v>
      </c>
      <c r="M5" s="44">
        <v>0</v>
      </c>
      <c r="N5" s="44">
        <v>0</v>
      </c>
      <c r="O5" s="44">
        <v>0</v>
      </c>
      <c r="P5" s="44">
        <v>0</v>
      </c>
      <c r="Q5" s="44">
        <v>0</v>
      </c>
      <c r="R5" s="44">
        <v>0</v>
      </c>
      <c r="S5" s="44">
        <v>0</v>
      </c>
      <c r="T5" s="44">
        <v>0</v>
      </c>
      <c r="U5" s="44">
        <v>0</v>
      </c>
      <c r="V5" s="44">
        <v>0</v>
      </c>
      <c r="W5" s="44">
        <v>0</v>
      </c>
      <c r="X5" s="44">
        <v>0</v>
      </c>
      <c r="Y5" s="44">
        <v>0</v>
      </c>
      <c r="Z5" s="44">
        <v>0</v>
      </c>
      <c r="AA5" s="44">
        <v>0</v>
      </c>
      <c r="AB5" s="44">
        <v>0</v>
      </c>
      <c r="AC5" s="44">
        <v>0</v>
      </c>
      <c r="AD5" s="44">
        <v>0</v>
      </c>
      <c r="AE5" s="44">
        <v>0</v>
      </c>
      <c r="AF5" s="44">
        <v>0</v>
      </c>
      <c r="AG5" s="44">
        <v>0</v>
      </c>
      <c r="AH5" s="44">
        <v>0</v>
      </c>
      <c r="AI5" s="7">
        <f t="shared" si="0"/>
        <v>6</v>
      </c>
      <c r="AJ5" s="12">
        <f t="shared" si="1"/>
        <v>0.1875</v>
      </c>
      <c r="AK5" s="7" t="str">
        <f t="shared" si="2"/>
        <v>Regular</v>
      </c>
    </row>
    <row r="6" spans="1:37" ht="15">
      <c r="A6" s="7" t="str">
        <f>IF(Base_Notas!A6&lt;&gt;"", Base_Notas!A6, "")</f>
        <v>1251405009</v>
      </c>
      <c r="B6" s="7" t="str">
        <f>IF(Base_Notas!B6&lt;&gt;"", Base_Notas!B6, "")</f>
        <v xml:space="preserve">GONZALEZ ARTEAGA GABRIELA </v>
      </c>
      <c r="C6" s="44">
        <v>0</v>
      </c>
      <c r="D6" s="44">
        <v>0</v>
      </c>
      <c r="E6" s="44">
        <v>0</v>
      </c>
      <c r="F6" s="44">
        <v>0</v>
      </c>
      <c r="G6" s="44">
        <v>0</v>
      </c>
      <c r="H6" s="44">
        <v>0</v>
      </c>
      <c r="I6" s="44">
        <v>0</v>
      </c>
      <c r="J6" s="44">
        <v>0</v>
      </c>
      <c r="K6" s="44">
        <v>0</v>
      </c>
      <c r="L6" s="44">
        <v>0</v>
      </c>
      <c r="M6" s="44">
        <v>0</v>
      </c>
      <c r="N6" s="44">
        <v>0</v>
      </c>
      <c r="O6" s="44">
        <v>0</v>
      </c>
      <c r="P6" s="44">
        <v>0</v>
      </c>
      <c r="Q6" s="44">
        <v>0</v>
      </c>
      <c r="R6" s="44">
        <v>0</v>
      </c>
      <c r="S6" s="44">
        <v>0</v>
      </c>
      <c r="T6" s="44">
        <v>0</v>
      </c>
      <c r="U6" s="44">
        <v>0</v>
      </c>
      <c r="V6" s="44">
        <v>0</v>
      </c>
      <c r="W6" s="44">
        <v>0</v>
      </c>
      <c r="X6" s="44">
        <v>0</v>
      </c>
      <c r="Y6" s="44">
        <v>0</v>
      </c>
      <c r="Z6" s="44">
        <v>0</v>
      </c>
      <c r="AA6" s="44">
        <v>0</v>
      </c>
      <c r="AB6" s="44">
        <v>0</v>
      </c>
      <c r="AC6" s="44">
        <v>0</v>
      </c>
      <c r="AD6" s="44">
        <v>0</v>
      </c>
      <c r="AE6" s="44">
        <v>0</v>
      </c>
      <c r="AF6" s="44">
        <v>0</v>
      </c>
      <c r="AG6" s="44">
        <v>0</v>
      </c>
      <c r="AH6" s="44">
        <v>0</v>
      </c>
      <c r="AI6" s="7">
        <f t="shared" si="0"/>
        <v>0</v>
      </c>
      <c r="AJ6" s="12">
        <f t="shared" si="1"/>
        <v>0</v>
      </c>
      <c r="AK6" s="7" t="str">
        <f t="shared" si="2"/>
        <v>Regular</v>
      </c>
    </row>
    <row r="7" spans="1:37" ht="15">
      <c r="A7" s="7" t="str">
        <f>IF(Base_Notas!A7&lt;&gt;"", Base_Notas!A7, "")</f>
        <v>2251405016</v>
      </c>
      <c r="B7" s="7" t="str">
        <f>IF(Base_Notas!B7&lt;&gt;"", Base_Notas!B7, "")</f>
        <v>IBARRA PASTAS DIANA LORENA</v>
      </c>
      <c r="C7" s="44">
        <v>0</v>
      </c>
      <c r="D7" s="44">
        <v>0</v>
      </c>
      <c r="E7" s="44">
        <v>0</v>
      </c>
      <c r="F7" s="44">
        <v>0</v>
      </c>
      <c r="G7" s="44">
        <v>0</v>
      </c>
      <c r="H7" s="44">
        <v>0</v>
      </c>
      <c r="I7" s="44">
        <v>0</v>
      </c>
      <c r="J7" s="44">
        <v>0</v>
      </c>
      <c r="K7" s="44">
        <v>0</v>
      </c>
      <c r="L7" s="44">
        <v>0</v>
      </c>
      <c r="M7" s="44">
        <v>0</v>
      </c>
      <c r="N7" s="44">
        <v>0</v>
      </c>
      <c r="O7" s="44">
        <v>0</v>
      </c>
      <c r="P7" s="44">
        <v>0</v>
      </c>
      <c r="Q7" s="44">
        <v>0</v>
      </c>
      <c r="R7" s="44">
        <v>0</v>
      </c>
      <c r="S7" s="44">
        <v>0</v>
      </c>
      <c r="T7" s="44">
        <v>0</v>
      </c>
      <c r="U7" s="44">
        <v>0</v>
      </c>
      <c r="V7" s="44">
        <v>0</v>
      </c>
      <c r="W7" s="44">
        <v>0</v>
      </c>
      <c r="X7" s="44">
        <v>0</v>
      </c>
      <c r="Y7" s="44">
        <v>0</v>
      </c>
      <c r="Z7" s="44">
        <v>0</v>
      </c>
      <c r="AA7" s="44">
        <v>0</v>
      </c>
      <c r="AB7" s="44">
        <v>0</v>
      </c>
      <c r="AC7" s="44">
        <v>0</v>
      </c>
      <c r="AD7" s="44">
        <v>0</v>
      </c>
      <c r="AE7" s="44">
        <v>0</v>
      </c>
      <c r="AF7" s="44">
        <v>0</v>
      </c>
      <c r="AG7" s="44">
        <v>0</v>
      </c>
      <c r="AH7" s="44">
        <v>0</v>
      </c>
      <c r="AI7" s="7">
        <f t="shared" si="0"/>
        <v>0</v>
      </c>
      <c r="AJ7" s="12">
        <f t="shared" si="1"/>
        <v>0</v>
      </c>
      <c r="AK7" s="7" t="str">
        <f t="shared" si="2"/>
        <v>Regular</v>
      </c>
    </row>
    <row r="8" spans="1:37" ht="15">
      <c r="A8" s="7" t="str">
        <f>IF(Base_Notas!A8&lt;&gt;"", Base_Notas!A8, "")</f>
        <v>1251405017</v>
      </c>
      <c r="B8" s="7" t="str">
        <f>IF(Base_Notas!B8&lt;&gt;"", Base_Notas!B8, "")</f>
        <v>JANAMEJOY MORA LAURA DANIELA</v>
      </c>
      <c r="C8" s="45">
        <v>1</v>
      </c>
      <c r="D8" s="45">
        <v>1</v>
      </c>
      <c r="E8" s="45">
        <v>1</v>
      </c>
      <c r="F8" s="45">
        <v>1</v>
      </c>
      <c r="G8" s="45">
        <v>1</v>
      </c>
      <c r="H8" s="45">
        <v>1</v>
      </c>
      <c r="I8" s="45">
        <v>1</v>
      </c>
      <c r="J8" s="45">
        <v>1</v>
      </c>
      <c r="K8" s="44">
        <v>0</v>
      </c>
      <c r="L8" s="44">
        <v>0</v>
      </c>
      <c r="M8" s="44">
        <v>0</v>
      </c>
      <c r="N8" s="44">
        <v>0</v>
      </c>
      <c r="O8" s="44">
        <v>0</v>
      </c>
      <c r="P8" s="44">
        <v>0</v>
      </c>
      <c r="Q8" s="44">
        <v>0</v>
      </c>
      <c r="R8" s="44">
        <v>0</v>
      </c>
      <c r="S8" s="44">
        <v>0</v>
      </c>
      <c r="T8" s="44">
        <v>0</v>
      </c>
      <c r="U8" s="44">
        <v>0</v>
      </c>
      <c r="V8" s="44">
        <v>0</v>
      </c>
      <c r="W8" s="44">
        <v>0</v>
      </c>
      <c r="X8" s="44">
        <v>0</v>
      </c>
      <c r="Y8" s="44">
        <v>0</v>
      </c>
      <c r="Z8" s="44">
        <v>0</v>
      </c>
      <c r="AA8" s="44">
        <v>0</v>
      </c>
      <c r="AB8" s="44">
        <v>0</v>
      </c>
      <c r="AC8" s="44">
        <v>0</v>
      </c>
      <c r="AD8" s="44">
        <v>0</v>
      </c>
      <c r="AE8" s="44">
        <v>0</v>
      </c>
      <c r="AF8" s="44">
        <v>0</v>
      </c>
      <c r="AG8" s="44">
        <v>0</v>
      </c>
      <c r="AH8" s="44">
        <v>0</v>
      </c>
      <c r="AI8" s="7">
        <f t="shared" si="0"/>
        <v>8</v>
      </c>
      <c r="AJ8" s="12">
        <f t="shared" si="1"/>
        <v>0.25</v>
      </c>
      <c r="AK8" s="7" t="str">
        <f t="shared" si="2"/>
        <v>Pérdida por Faltas</v>
      </c>
    </row>
    <row r="9" spans="1:37" ht="15">
      <c r="A9" s="7" t="str">
        <f>IF(Base_Notas!A9&lt;&gt;"", Base_Notas!A9, "")</f>
        <v>1251405025</v>
      </c>
      <c r="B9" s="7" t="str">
        <f>IF(Base_Notas!B9&lt;&gt;"", Base_Notas!B9, "")</f>
        <v>JIMENEZ POTOSI EVELIN YENECSY</v>
      </c>
      <c r="C9" s="44">
        <v>0</v>
      </c>
      <c r="D9" s="44">
        <v>0</v>
      </c>
      <c r="E9" s="44">
        <v>0</v>
      </c>
      <c r="F9" s="44">
        <v>0</v>
      </c>
      <c r="G9" s="44">
        <v>0</v>
      </c>
      <c r="H9" s="44">
        <v>0</v>
      </c>
      <c r="I9" s="44">
        <v>0</v>
      </c>
      <c r="J9" s="44">
        <v>0</v>
      </c>
      <c r="K9" s="44">
        <v>0</v>
      </c>
      <c r="L9" s="44">
        <v>0</v>
      </c>
      <c r="M9" s="44">
        <v>0</v>
      </c>
      <c r="N9" s="44">
        <v>0</v>
      </c>
      <c r="O9" s="44">
        <v>0</v>
      </c>
      <c r="P9" s="44">
        <v>0</v>
      </c>
      <c r="Q9" s="44">
        <v>0</v>
      </c>
      <c r="R9" s="44">
        <v>0</v>
      </c>
      <c r="S9" s="44">
        <v>0</v>
      </c>
      <c r="T9" s="44">
        <v>0</v>
      </c>
      <c r="U9" s="44">
        <v>0</v>
      </c>
      <c r="V9" s="44">
        <v>0</v>
      </c>
      <c r="W9" s="44">
        <v>0</v>
      </c>
      <c r="X9" s="44">
        <v>0</v>
      </c>
      <c r="Y9" s="44">
        <v>0</v>
      </c>
      <c r="Z9" s="44">
        <v>0</v>
      </c>
      <c r="AA9" s="44">
        <v>0</v>
      </c>
      <c r="AB9" s="44">
        <v>0</v>
      </c>
      <c r="AC9" s="44">
        <v>0</v>
      </c>
      <c r="AD9" s="44">
        <v>0</v>
      </c>
      <c r="AE9" s="44">
        <v>0</v>
      </c>
      <c r="AF9" s="44">
        <v>0</v>
      </c>
      <c r="AG9" s="44">
        <v>0</v>
      </c>
      <c r="AH9" s="44">
        <v>0</v>
      </c>
      <c r="AI9" s="7">
        <f t="shared" si="0"/>
        <v>0</v>
      </c>
      <c r="AJ9" s="12">
        <f t="shared" si="1"/>
        <v>0</v>
      </c>
      <c r="AK9" s="7" t="str">
        <f t="shared" si="2"/>
        <v>Regular</v>
      </c>
    </row>
    <row r="10" spans="1:37" ht="15">
      <c r="A10" s="7" t="str">
        <f>IF(Base_Notas!A10&lt;&gt;"", Base_Notas!A10, "")</f>
        <v>1251405001</v>
      </c>
      <c r="B10" s="7" t="str">
        <f>IF(Base_Notas!B10&lt;&gt;"", Base_Notas!B10, "")</f>
        <v>MARINEZ SALAZAR ABEL STEPHEN</v>
      </c>
      <c r="C10" s="44">
        <v>0</v>
      </c>
      <c r="D10" s="44">
        <v>0</v>
      </c>
      <c r="E10" s="44">
        <v>0</v>
      </c>
      <c r="F10" s="44">
        <v>0</v>
      </c>
      <c r="G10" s="44">
        <v>0</v>
      </c>
      <c r="H10" s="44">
        <v>0</v>
      </c>
      <c r="I10" s="44">
        <v>0</v>
      </c>
      <c r="J10" s="44">
        <v>0</v>
      </c>
      <c r="K10" s="44">
        <v>0</v>
      </c>
      <c r="L10" s="44">
        <v>0</v>
      </c>
      <c r="M10" s="44">
        <v>0</v>
      </c>
      <c r="N10" s="44">
        <v>0</v>
      </c>
      <c r="O10" s="44">
        <v>0</v>
      </c>
      <c r="P10" s="44">
        <v>0</v>
      </c>
      <c r="Q10" s="44">
        <v>0</v>
      </c>
      <c r="R10" s="44">
        <v>0</v>
      </c>
      <c r="S10" s="44">
        <v>0</v>
      </c>
      <c r="T10" s="44">
        <v>0</v>
      </c>
      <c r="U10" s="44">
        <v>0</v>
      </c>
      <c r="V10" s="44">
        <v>0</v>
      </c>
      <c r="W10" s="44">
        <v>0</v>
      </c>
      <c r="X10" s="44">
        <v>0</v>
      </c>
      <c r="Y10" s="44">
        <v>0</v>
      </c>
      <c r="Z10" s="44">
        <v>0</v>
      </c>
      <c r="AA10" s="44">
        <v>0</v>
      </c>
      <c r="AB10" s="44">
        <v>0</v>
      </c>
      <c r="AC10" s="44">
        <v>0</v>
      </c>
      <c r="AD10" s="44">
        <v>0</v>
      </c>
      <c r="AE10" s="44">
        <v>0</v>
      </c>
      <c r="AF10" s="44">
        <v>0</v>
      </c>
      <c r="AG10" s="44">
        <v>0</v>
      </c>
      <c r="AH10" s="44">
        <v>0</v>
      </c>
      <c r="AI10" s="7">
        <f t="shared" si="0"/>
        <v>0</v>
      </c>
      <c r="AJ10" s="12">
        <f t="shared" si="1"/>
        <v>0</v>
      </c>
      <c r="AK10" s="7" t="str">
        <f t="shared" si="2"/>
        <v>Regular</v>
      </c>
    </row>
    <row r="11" spans="1:37" ht="15">
      <c r="A11" s="7" t="str">
        <f>IF(Base_Notas!A11&lt;&gt;"", Base_Notas!A11, "")</f>
        <v>2251405010</v>
      </c>
      <c r="B11" s="7" t="str">
        <f>IF(Base_Notas!B11&lt;&gt;"", Base_Notas!B11, "")</f>
        <v>MOLANO GARZON SARA SOFIA</v>
      </c>
      <c r="C11" s="44">
        <v>0</v>
      </c>
      <c r="D11" s="44">
        <v>0</v>
      </c>
      <c r="E11" s="44">
        <v>0</v>
      </c>
      <c r="F11" s="44">
        <v>0</v>
      </c>
      <c r="G11" s="44">
        <v>0</v>
      </c>
      <c r="H11" s="44">
        <v>0</v>
      </c>
      <c r="I11" s="44">
        <v>0</v>
      </c>
      <c r="J11" s="44">
        <v>0</v>
      </c>
      <c r="K11" s="44">
        <v>0</v>
      </c>
      <c r="L11" s="44">
        <v>0</v>
      </c>
      <c r="M11" s="44">
        <v>0</v>
      </c>
      <c r="N11" s="44">
        <v>0</v>
      </c>
      <c r="O11" s="44">
        <v>0</v>
      </c>
      <c r="P11" s="44">
        <v>0</v>
      </c>
      <c r="Q11" s="44">
        <v>0</v>
      </c>
      <c r="R11" s="44">
        <v>0</v>
      </c>
      <c r="S11" s="44">
        <v>0</v>
      </c>
      <c r="T11" s="44">
        <v>0</v>
      </c>
      <c r="U11" s="44">
        <v>0</v>
      </c>
      <c r="V11" s="44">
        <v>0</v>
      </c>
      <c r="W11" s="44">
        <v>0</v>
      </c>
      <c r="X11" s="44">
        <v>0</v>
      </c>
      <c r="Y11" s="44">
        <v>0</v>
      </c>
      <c r="Z11" s="44">
        <v>0</v>
      </c>
      <c r="AA11" s="44">
        <v>0</v>
      </c>
      <c r="AB11" s="44">
        <v>0</v>
      </c>
      <c r="AC11" s="44">
        <v>0</v>
      </c>
      <c r="AD11" s="44">
        <v>0</v>
      </c>
      <c r="AE11" s="44">
        <v>0</v>
      </c>
      <c r="AF11" s="44">
        <v>0</v>
      </c>
      <c r="AG11" s="44">
        <v>0</v>
      </c>
      <c r="AH11" s="44">
        <v>0</v>
      </c>
      <c r="AI11" s="7">
        <f t="shared" si="0"/>
        <v>0</v>
      </c>
      <c r="AJ11" s="12">
        <f t="shared" si="1"/>
        <v>0</v>
      </c>
      <c r="AK11" s="7" t="str">
        <f t="shared" si="2"/>
        <v>Regular</v>
      </c>
    </row>
    <row r="12" spans="1:37" ht="15">
      <c r="A12" s="14" t="str">
        <f>IF(Base_Notas!A12&lt;&gt;"", Base_Notas!A12, "")</f>
        <v>2251405020</v>
      </c>
      <c r="B12" s="14" t="str">
        <f>IF(Base_Notas!B12&lt;&gt;"", Base_Notas!B12, "")</f>
        <v>MORALES CUASPUD YOBANY ALBEIRO</v>
      </c>
      <c r="C12" s="45">
        <v>1</v>
      </c>
      <c r="D12" s="44">
        <v>0</v>
      </c>
      <c r="E12" s="44">
        <v>0</v>
      </c>
      <c r="F12" s="44">
        <v>0</v>
      </c>
      <c r="G12" s="44">
        <v>0</v>
      </c>
      <c r="H12" s="44">
        <v>0</v>
      </c>
      <c r="I12" s="44">
        <v>0</v>
      </c>
      <c r="J12" s="44">
        <v>0</v>
      </c>
      <c r="K12" s="44">
        <v>0</v>
      </c>
      <c r="L12" s="45">
        <v>1</v>
      </c>
      <c r="M12" s="44">
        <v>0</v>
      </c>
      <c r="N12" s="45">
        <v>1</v>
      </c>
      <c r="O12" s="45">
        <v>1</v>
      </c>
      <c r="P12" s="45">
        <v>1</v>
      </c>
      <c r="Q12" s="45">
        <v>1</v>
      </c>
      <c r="R12" s="44">
        <v>0</v>
      </c>
      <c r="S12" s="44">
        <v>0</v>
      </c>
      <c r="T12" s="44">
        <v>0</v>
      </c>
      <c r="U12" s="44">
        <v>0</v>
      </c>
      <c r="V12" s="44">
        <v>0</v>
      </c>
      <c r="W12" s="44">
        <v>0</v>
      </c>
      <c r="X12" s="44">
        <v>0</v>
      </c>
      <c r="Y12" s="44">
        <v>0</v>
      </c>
      <c r="Z12" s="44">
        <v>0</v>
      </c>
      <c r="AA12" s="44">
        <v>0</v>
      </c>
      <c r="AB12" s="44">
        <v>0</v>
      </c>
      <c r="AC12" s="44">
        <v>0</v>
      </c>
      <c r="AD12" s="44">
        <v>0</v>
      </c>
      <c r="AE12" s="44">
        <v>0</v>
      </c>
      <c r="AF12" s="44">
        <v>0</v>
      </c>
      <c r="AG12" s="44">
        <v>0</v>
      </c>
      <c r="AH12" s="44">
        <v>0</v>
      </c>
      <c r="AI12" s="14">
        <f t="shared" si="0"/>
        <v>6</v>
      </c>
      <c r="AJ12" s="12">
        <f t="shared" si="1"/>
        <v>0.1875</v>
      </c>
      <c r="AK12" s="14" t="str">
        <f t="shared" si="2"/>
        <v>Regular</v>
      </c>
    </row>
    <row r="13" spans="1:37">
      <c r="A13" t="str">
        <f>IF(Base_Notas!A54&lt;&gt;"", Base_Notas!A54, "")</f>
        <v/>
      </c>
      <c r="B13" t="str">
        <f>IF(Base_Notas!B54&lt;&gt;"", Base_Notas!B54, "")</f>
        <v/>
      </c>
      <c r="AI13" t="str">
        <f t="shared" ref="AI13:AI24" si="3">IF(B13&lt;&gt;"", SUMIF(C13:AH13, 1), "")</f>
        <v/>
      </c>
      <c r="AJ13" t="str">
        <f t="shared" ref="AJ13:AJ24" si="4">IF(B13&lt;&gt;"", AI13/32, "")</f>
        <v/>
      </c>
      <c r="AK13" t="str">
        <f t="shared" ref="AK13:AK24" si="5">IF(B13="", "", IF(AJ13&gt;0.2, "Pérdida por Faltas", "Regular"))</f>
        <v/>
      </c>
    </row>
    <row r="14" spans="1:37">
      <c r="A14" t="str">
        <f>IF(Base_Notas!A55&lt;&gt;"", Base_Notas!A55, "")</f>
        <v/>
      </c>
      <c r="B14" t="str">
        <f>IF(Base_Notas!B55&lt;&gt;"", Base_Notas!B55, "")</f>
        <v/>
      </c>
      <c r="AI14" t="str">
        <f t="shared" si="3"/>
        <v/>
      </c>
      <c r="AJ14" t="str">
        <f t="shared" si="4"/>
        <v/>
      </c>
      <c r="AK14" t="str">
        <f t="shared" si="5"/>
        <v/>
      </c>
    </row>
    <row r="15" spans="1:37">
      <c r="A15" t="str">
        <f>IF(Base_Notas!A56&lt;&gt;"", Base_Notas!A56, "")</f>
        <v/>
      </c>
      <c r="B15" t="str">
        <f>IF(Base_Notas!B56&lt;&gt;"", Base_Notas!B56, "")</f>
        <v/>
      </c>
      <c r="AI15" t="str">
        <f t="shared" si="3"/>
        <v/>
      </c>
      <c r="AJ15" t="str">
        <f t="shared" si="4"/>
        <v/>
      </c>
      <c r="AK15" t="str">
        <f t="shared" si="5"/>
        <v/>
      </c>
    </row>
    <row r="16" spans="1:37">
      <c r="A16" t="str">
        <f>IF(Base_Notas!A57&lt;&gt;"", Base_Notas!A57, "")</f>
        <v/>
      </c>
      <c r="B16" t="str">
        <f>IF(Base_Notas!B57&lt;&gt;"", Base_Notas!B57, "")</f>
        <v/>
      </c>
      <c r="AI16" t="str">
        <f t="shared" si="3"/>
        <v/>
      </c>
      <c r="AJ16" t="str">
        <f t="shared" si="4"/>
        <v/>
      </c>
      <c r="AK16" t="str">
        <f t="shared" si="5"/>
        <v/>
      </c>
    </row>
    <row r="17" spans="1:37">
      <c r="A17" t="str">
        <f>IF(Base_Notas!A58&lt;&gt;"", Base_Notas!A58, "")</f>
        <v/>
      </c>
      <c r="B17" t="str">
        <f>IF(Base_Notas!B58&lt;&gt;"", Base_Notas!B58, "")</f>
        <v/>
      </c>
      <c r="AI17" t="str">
        <f t="shared" si="3"/>
        <v/>
      </c>
      <c r="AJ17" t="str">
        <f t="shared" si="4"/>
        <v/>
      </c>
      <c r="AK17" t="str">
        <f t="shared" si="5"/>
        <v/>
      </c>
    </row>
    <row r="18" spans="1:37">
      <c r="A18" t="str">
        <f>IF(Base_Notas!A59&lt;&gt;"", Base_Notas!A59, "")</f>
        <v/>
      </c>
      <c r="B18" t="str">
        <f>IF(Base_Notas!B59&lt;&gt;"", Base_Notas!B59, "")</f>
        <v/>
      </c>
      <c r="AI18" t="str">
        <f t="shared" si="3"/>
        <v/>
      </c>
      <c r="AJ18" t="str">
        <f t="shared" si="4"/>
        <v/>
      </c>
      <c r="AK18" t="str">
        <f t="shared" si="5"/>
        <v/>
      </c>
    </row>
    <row r="19" spans="1:37">
      <c r="A19" t="str">
        <f>IF(Base_Notas!A60&lt;&gt;"", Base_Notas!A60, "")</f>
        <v/>
      </c>
      <c r="B19" t="str">
        <f>IF(Base_Notas!B60&lt;&gt;"", Base_Notas!B60, "")</f>
        <v/>
      </c>
      <c r="AI19" t="str">
        <f t="shared" si="3"/>
        <v/>
      </c>
      <c r="AJ19" t="str">
        <f t="shared" si="4"/>
        <v/>
      </c>
      <c r="AK19" t="str">
        <f t="shared" si="5"/>
        <v/>
      </c>
    </row>
    <row r="20" spans="1:37">
      <c r="A20" t="str">
        <f>IF(Base_Notas!A61&lt;&gt;"", Base_Notas!A61, "")</f>
        <v/>
      </c>
      <c r="B20" t="str">
        <f>IF(Base_Notas!B61&lt;&gt;"", Base_Notas!B61, "")</f>
        <v/>
      </c>
      <c r="AI20" t="str">
        <f t="shared" si="3"/>
        <v/>
      </c>
      <c r="AJ20" t="str">
        <f t="shared" si="4"/>
        <v/>
      </c>
      <c r="AK20" t="str">
        <f t="shared" si="5"/>
        <v/>
      </c>
    </row>
    <row r="21" spans="1:37">
      <c r="A21" t="str">
        <f>IF(Base_Notas!A62&lt;&gt;"", Base_Notas!A62, "")</f>
        <v/>
      </c>
      <c r="B21" t="str">
        <f>IF(Base_Notas!B62&lt;&gt;"", Base_Notas!B62, "")</f>
        <v/>
      </c>
      <c r="AI21" t="str">
        <f t="shared" si="3"/>
        <v/>
      </c>
      <c r="AJ21" t="str">
        <f t="shared" si="4"/>
        <v/>
      </c>
      <c r="AK21" t="str">
        <f t="shared" si="5"/>
        <v/>
      </c>
    </row>
    <row r="22" spans="1:37">
      <c r="A22" t="str">
        <f>IF(Base_Notas!A63&lt;&gt;"", Base_Notas!A63, "")</f>
        <v/>
      </c>
      <c r="B22" t="str">
        <f>IF(Base_Notas!B63&lt;&gt;"", Base_Notas!B63, "")</f>
        <v/>
      </c>
      <c r="AI22" t="str">
        <f t="shared" si="3"/>
        <v/>
      </c>
      <c r="AJ22" t="str">
        <f t="shared" si="4"/>
        <v/>
      </c>
      <c r="AK22" t="str">
        <f t="shared" si="5"/>
        <v/>
      </c>
    </row>
    <row r="23" spans="1:37">
      <c r="A23" t="str">
        <f>IF(Base_Notas!A64&lt;&gt;"", Base_Notas!A64, "")</f>
        <v/>
      </c>
      <c r="B23" t="str">
        <f>IF(Base_Notas!B64&lt;&gt;"", Base_Notas!B64, "")</f>
        <v/>
      </c>
      <c r="AI23" t="str">
        <f t="shared" si="3"/>
        <v/>
      </c>
      <c r="AJ23" t="str">
        <f t="shared" si="4"/>
        <v/>
      </c>
      <c r="AK23" t="str">
        <f t="shared" si="5"/>
        <v/>
      </c>
    </row>
    <row r="24" spans="1:37">
      <c r="A24" t="str">
        <f>IF(Base_Notas!A65&lt;&gt;"", Base_Notas!A65, "")</f>
        <v/>
      </c>
      <c r="B24" t="str">
        <f>IF(Base_Notas!B65&lt;&gt;"", Base_Notas!B65, "")</f>
        <v/>
      </c>
      <c r="AI24" t="str">
        <f t="shared" si="3"/>
        <v/>
      </c>
      <c r="AJ24" t="str">
        <f t="shared" si="4"/>
        <v/>
      </c>
      <c r="AK24" t="str">
        <f t="shared" si="5"/>
        <v/>
      </c>
    </row>
    <row r="25" spans="1:37">
      <c r="A25" t="str">
        <f>IF(Base_Notas!A66&lt;&gt;"", Base_Notas!A66, "")</f>
        <v/>
      </c>
      <c r="B25" t="str">
        <f>IF(Base_Notas!B66&lt;&gt;"", Base_Notas!B66, "")</f>
        <v/>
      </c>
      <c r="AI25" t="str">
        <f t="shared" ref="AI25:AI56" si="6">IF(B25&lt;&gt;"", SUMIF(C25:AH25, 1), "")</f>
        <v/>
      </c>
      <c r="AJ25" t="str">
        <f t="shared" ref="AJ25:AJ56" si="7">IF(B25&lt;&gt;"", AI25/32, "")</f>
        <v/>
      </c>
      <c r="AK25" t="str">
        <f t="shared" ref="AK25:AK56" si="8">IF(B25="", "", IF(AJ25&gt;0.2, "Pérdida por Faltas", "Regular"))</f>
        <v/>
      </c>
    </row>
    <row r="26" spans="1:37">
      <c r="A26" t="str">
        <f>IF(Base_Notas!A67&lt;&gt;"", Base_Notas!A67, "")</f>
        <v/>
      </c>
      <c r="B26" t="str">
        <f>IF(Base_Notas!B67&lt;&gt;"", Base_Notas!B67, "")</f>
        <v/>
      </c>
      <c r="AI26" t="str">
        <f t="shared" si="6"/>
        <v/>
      </c>
      <c r="AJ26" t="str">
        <f t="shared" si="7"/>
        <v/>
      </c>
      <c r="AK26" t="str">
        <f t="shared" si="8"/>
        <v/>
      </c>
    </row>
    <row r="27" spans="1:37">
      <c r="A27" t="str">
        <f>IF(Base_Notas!A68&lt;&gt;"", Base_Notas!A68, "")</f>
        <v/>
      </c>
      <c r="B27" t="str">
        <f>IF(Base_Notas!B68&lt;&gt;"", Base_Notas!B68, "")</f>
        <v/>
      </c>
      <c r="AI27" t="str">
        <f t="shared" si="6"/>
        <v/>
      </c>
      <c r="AJ27" t="str">
        <f t="shared" si="7"/>
        <v/>
      </c>
      <c r="AK27" t="str">
        <f t="shared" si="8"/>
        <v/>
      </c>
    </row>
    <row r="28" spans="1:37">
      <c r="A28" t="str">
        <f>IF(Base_Notas!A69&lt;&gt;"", Base_Notas!A69, "")</f>
        <v/>
      </c>
      <c r="B28" t="str">
        <f>IF(Base_Notas!B69&lt;&gt;"", Base_Notas!B69, "")</f>
        <v/>
      </c>
      <c r="AI28" t="str">
        <f t="shared" si="6"/>
        <v/>
      </c>
      <c r="AJ28" t="str">
        <f t="shared" si="7"/>
        <v/>
      </c>
      <c r="AK28" t="str">
        <f t="shared" si="8"/>
        <v/>
      </c>
    </row>
    <row r="29" spans="1:37">
      <c r="A29" t="str">
        <f>IF(Base_Notas!A70&lt;&gt;"", Base_Notas!A70, "")</f>
        <v/>
      </c>
      <c r="B29" t="str">
        <f>IF(Base_Notas!B70&lt;&gt;"", Base_Notas!B70, "")</f>
        <v/>
      </c>
      <c r="AI29" t="str">
        <f t="shared" si="6"/>
        <v/>
      </c>
      <c r="AJ29" t="str">
        <f t="shared" si="7"/>
        <v/>
      </c>
      <c r="AK29" t="str">
        <f t="shared" si="8"/>
        <v/>
      </c>
    </row>
    <row r="30" spans="1:37">
      <c r="A30" t="str">
        <f>IF(Base_Notas!A71&lt;&gt;"", Base_Notas!A71, "")</f>
        <v/>
      </c>
      <c r="B30" t="str">
        <f>IF(Base_Notas!B71&lt;&gt;"", Base_Notas!B71, "")</f>
        <v/>
      </c>
      <c r="AI30" t="str">
        <f t="shared" si="6"/>
        <v/>
      </c>
      <c r="AJ30" t="str">
        <f t="shared" si="7"/>
        <v/>
      </c>
      <c r="AK30" t="str">
        <f t="shared" si="8"/>
        <v/>
      </c>
    </row>
    <row r="31" spans="1:37">
      <c r="A31" t="str">
        <f>IF(Base_Notas!A72&lt;&gt;"", Base_Notas!A72, "")</f>
        <v/>
      </c>
      <c r="B31" t="str">
        <f>IF(Base_Notas!B72&lt;&gt;"", Base_Notas!B72, "")</f>
        <v/>
      </c>
      <c r="AI31" t="str">
        <f t="shared" si="6"/>
        <v/>
      </c>
      <c r="AJ31" t="str">
        <f t="shared" si="7"/>
        <v/>
      </c>
      <c r="AK31" t="str">
        <f t="shared" si="8"/>
        <v/>
      </c>
    </row>
    <row r="32" spans="1:37">
      <c r="A32" t="str">
        <f>IF(Base_Notas!A73&lt;&gt;"", Base_Notas!A73, "")</f>
        <v/>
      </c>
      <c r="B32" t="str">
        <f>IF(Base_Notas!B73&lt;&gt;"", Base_Notas!B73, "")</f>
        <v/>
      </c>
      <c r="AI32" t="str">
        <f t="shared" si="6"/>
        <v/>
      </c>
      <c r="AJ32" t="str">
        <f t="shared" si="7"/>
        <v/>
      </c>
      <c r="AK32" t="str">
        <f t="shared" si="8"/>
        <v/>
      </c>
    </row>
    <row r="33" spans="1:37">
      <c r="A33" t="str">
        <f>IF(Base_Notas!A74&lt;&gt;"", Base_Notas!A74, "")</f>
        <v/>
      </c>
      <c r="B33" t="str">
        <f>IF(Base_Notas!B74&lt;&gt;"", Base_Notas!B74, "")</f>
        <v/>
      </c>
      <c r="AI33" t="str">
        <f t="shared" si="6"/>
        <v/>
      </c>
      <c r="AJ33" t="str">
        <f t="shared" si="7"/>
        <v/>
      </c>
      <c r="AK33" t="str">
        <f t="shared" si="8"/>
        <v/>
      </c>
    </row>
    <row r="34" spans="1:37">
      <c r="A34" t="str">
        <f>IF(Base_Notas!A75&lt;&gt;"", Base_Notas!A75, "")</f>
        <v/>
      </c>
      <c r="B34" t="str">
        <f>IF(Base_Notas!B75&lt;&gt;"", Base_Notas!B75, "")</f>
        <v/>
      </c>
      <c r="AI34" t="str">
        <f t="shared" si="6"/>
        <v/>
      </c>
      <c r="AJ34" t="str">
        <f t="shared" si="7"/>
        <v/>
      </c>
      <c r="AK34" t="str">
        <f t="shared" si="8"/>
        <v/>
      </c>
    </row>
    <row r="35" spans="1:37">
      <c r="A35" t="str">
        <f>IF(Base_Notas!A76&lt;&gt;"", Base_Notas!A76, "")</f>
        <v/>
      </c>
      <c r="B35" t="str">
        <f>IF(Base_Notas!B76&lt;&gt;"", Base_Notas!B76, "")</f>
        <v/>
      </c>
      <c r="AI35" t="str">
        <f t="shared" si="6"/>
        <v/>
      </c>
      <c r="AJ35" t="str">
        <f t="shared" si="7"/>
        <v/>
      </c>
      <c r="AK35" t="str">
        <f t="shared" si="8"/>
        <v/>
      </c>
    </row>
    <row r="36" spans="1:37">
      <c r="A36" t="str">
        <f>IF(Base_Notas!A77&lt;&gt;"", Base_Notas!A77, "")</f>
        <v/>
      </c>
      <c r="B36" t="str">
        <f>IF(Base_Notas!B77&lt;&gt;"", Base_Notas!B77, "")</f>
        <v/>
      </c>
      <c r="AI36" t="str">
        <f t="shared" si="6"/>
        <v/>
      </c>
      <c r="AJ36" t="str">
        <f t="shared" si="7"/>
        <v/>
      </c>
      <c r="AK36" t="str">
        <f t="shared" si="8"/>
        <v/>
      </c>
    </row>
    <row r="37" spans="1:37">
      <c r="A37" t="str">
        <f>IF(Base_Notas!A78&lt;&gt;"", Base_Notas!A78, "")</f>
        <v/>
      </c>
      <c r="B37" t="str">
        <f>IF(Base_Notas!B78&lt;&gt;"", Base_Notas!B78, "")</f>
        <v/>
      </c>
      <c r="AI37" t="str">
        <f t="shared" si="6"/>
        <v/>
      </c>
      <c r="AJ37" t="str">
        <f t="shared" si="7"/>
        <v/>
      </c>
      <c r="AK37" t="str">
        <f t="shared" si="8"/>
        <v/>
      </c>
    </row>
    <row r="38" spans="1:37">
      <c r="A38" t="str">
        <f>IF(Base_Notas!A79&lt;&gt;"", Base_Notas!A79, "")</f>
        <v/>
      </c>
      <c r="B38" t="str">
        <f>IF(Base_Notas!B79&lt;&gt;"", Base_Notas!B79, "")</f>
        <v/>
      </c>
      <c r="AI38" t="str">
        <f t="shared" si="6"/>
        <v/>
      </c>
      <c r="AJ38" t="str">
        <f t="shared" si="7"/>
        <v/>
      </c>
      <c r="AK38" t="str">
        <f t="shared" si="8"/>
        <v/>
      </c>
    </row>
    <row r="39" spans="1:37">
      <c r="A39" t="str">
        <f>IF(Base_Notas!A80&lt;&gt;"", Base_Notas!A80, "")</f>
        <v/>
      </c>
      <c r="B39" t="str">
        <f>IF(Base_Notas!B80&lt;&gt;"", Base_Notas!B80, "")</f>
        <v/>
      </c>
      <c r="AI39" t="str">
        <f t="shared" si="6"/>
        <v/>
      </c>
      <c r="AJ39" t="str">
        <f t="shared" si="7"/>
        <v/>
      </c>
      <c r="AK39" t="str">
        <f t="shared" si="8"/>
        <v/>
      </c>
    </row>
    <row r="40" spans="1:37">
      <c r="A40" t="str">
        <f>IF(Base_Notas!A81&lt;&gt;"", Base_Notas!A81, "")</f>
        <v/>
      </c>
      <c r="B40" t="str">
        <f>IF(Base_Notas!B81&lt;&gt;"", Base_Notas!B81, "")</f>
        <v/>
      </c>
      <c r="AI40" t="str">
        <f t="shared" si="6"/>
        <v/>
      </c>
      <c r="AJ40" t="str">
        <f t="shared" si="7"/>
        <v/>
      </c>
      <c r="AK40" t="str">
        <f t="shared" si="8"/>
        <v/>
      </c>
    </row>
    <row r="41" spans="1:37">
      <c r="A41" t="str">
        <f>IF(Base_Notas!A82&lt;&gt;"", Base_Notas!A82, "")</f>
        <v/>
      </c>
      <c r="B41" t="str">
        <f>IF(Base_Notas!B82&lt;&gt;"", Base_Notas!B82, "")</f>
        <v/>
      </c>
      <c r="AI41" t="str">
        <f t="shared" si="6"/>
        <v/>
      </c>
      <c r="AJ41" t="str">
        <f t="shared" si="7"/>
        <v/>
      </c>
      <c r="AK41" t="str">
        <f t="shared" si="8"/>
        <v/>
      </c>
    </row>
    <row r="42" spans="1:37">
      <c r="A42" t="str">
        <f>IF(Base_Notas!A83&lt;&gt;"", Base_Notas!A83, "")</f>
        <v/>
      </c>
      <c r="B42" t="str">
        <f>IF(Base_Notas!B83&lt;&gt;"", Base_Notas!B83, "")</f>
        <v/>
      </c>
      <c r="AI42" t="str">
        <f t="shared" si="6"/>
        <v/>
      </c>
      <c r="AJ42" t="str">
        <f t="shared" si="7"/>
        <v/>
      </c>
      <c r="AK42" t="str">
        <f t="shared" si="8"/>
        <v/>
      </c>
    </row>
    <row r="43" spans="1:37">
      <c r="A43" t="str">
        <f>IF(Base_Notas!A84&lt;&gt;"", Base_Notas!A84, "")</f>
        <v/>
      </c>
      <c r="B43" t="str">
        <f>IF(Base_Notas!B84&lt;&gt;"", Base_Notas!B84, "")</f>
        <v/>
      </c>
      <c r="AI43" t="str">
        <f t="shared" si="6"/>
        <v/>
      </c>
      <c r="AJ43" t="str">
        <f t="shared" si="7"/>
        <v/>
      </c>
      <c r="AK43" t="str">
        <f t="shared" si="8"/>
        <v/>
      </c>
    </row>
    <row r="44" spans="1:37">
      <c r="A44" t="str">
        <f>IF(Base_Notas!A85&lt;&gt;"", Base_Notas!A85, "")</f>
        <v/>
      </c>
      <c r="B44" t="str">
        <f>IF(Base_Notas!B85&lt;&gt;"", Base_Notas!B85, "")</f>
        <v/>
      </c>
      <c r="AI44" t="str">
        <f t="shared" si="6"/>
        <v/>
      </c>
      <c r="AJ44" t="str">
        <f t="shared" si="7"/>
        <v/>
      </c>
      <c r="AK44" t="str">
        <f t="shared" si="8"/>
        <v/>
      </c>
    </row>
    <row r="45" spans="1:37">
      <c r="A45" t="str">
        <f>IF(Base_Notas!A86&lt;&gt;"", Base_Notas!A86, "")</f>
        <v/>
      </c>
      <c r="B45" t="str">
        <f>IF(Base_Notas!B86&lt;&gt;"", Base_Notas!B86, "")</f>
        <v/>
      </c>
      <c r="AI45" t="str">
        <f t="shared" si="6"/>
        <v/>
      </c>
      <c r="AJ45" t="str">
        <f t="shared" si="7"/>
        <v/>
      </c>
      <c r="AK45" t="str">
        <f t="shared" si="8"/>
        <v/>
      </c>
    </row>
    <row r="46" spans="1:37">
      <c r="A46" t="str">
        <f>IF(Base_Notas!A87&lt;&gt;"", Base_Notas!A87, "")</f>
        <v/>
      </c>
      <c r="B46" t="str">
        <f>IF(Base_Notas!B87&lt;&gt;"", Base_Notas!B87, "")</f>
        <v/>
      </c>
      <c r="AI46" t="str">
        <f t="shared" si="6"/>
        <v/>
      </c>
      <c r="AJ46" t="str">
        <f t="shared" si="7"/>
        <v/>
      </c>
      <c r="AK46" t="str">
        <f t="shared" si="8"/>
        <v/>
      </c>
    </row>
    <row r="47" spans="1:37">
      <c r="A47" t="str">
        <f>IF(Base_Notas!A88&lt;&gt;"", Base_Notas!A88, "")</f>
        <v/>
      </c>
      <c r="B47" t="str">
        <f>IF(Base_Notas!B88&lt;&gt;"", Base_Notas!B88, "")</f>
        <v/>
      </c>
      <c r="AI47" t="str">
        <f t="shared" si="6"/>
        <v/>
      </c>
      <c r="AJ47" t="str">
        <f t="shared" si="7"/>
        <v/>
      </c>
      <c r="AK47" t="str">
        <f t="shared" si="8"/>
        <v/>
      </c>
    </row>
    <row r="48" spans="1:37">
      <c r="A48" t="str">
        <f>IF(Base_Notas!A89&lt;&gt;"", Base_Notas!A89, "")</f>
        <v/>
      </c>
      <c r="B48" t="str">
        <f>IF(Base_Notas!B89&lt;&gt;"", Base_Notas!B89, "")</f>
        <v/>
      </c>
      <c r="AI48" t="str">
        <f t="shared" si="6"/>
        <v/>
      </c>
      <c r="AJ48" t="str">
        <f t="shared" si="7"/>
        <v/>
      </c>
      <c r="AK48" t="str">
        <f t="shared" si="8"/>
        <v/>
      </c>
    </row>
    <row r="49" spans="1:37">
      <c r="A49" t="str">
        <f>IF(Base_Notas!A90&lt;&gt;"", Base_Notas!A90, "")</f>
        <v/>
      </c>
      <c r="B49" t="str">
        <f>IF(Base_Notas!B90&lt;&gt;"", Base_Notas!B90, "")</f>
        <v/>
      </c>
      <c r="AI49" t="str">
        <f t="shared" si="6"/>
        <v/>
      </c>
      <c r="AJ49" t="str">
        <f t="shared" si="7"/>
        <v/>
      </c>
      <c r="AK49" t="str">
        <f t="shared" si="8"/>
        <v/>
      </c>
    </row>
    <row r="50" spans="1:37">
      <c r="A50" t="str">
        <f>IF(Base_Notas!A91&lt;&gt;"", Base_Notas!A91, "")</f>
        <v/>
      </c>
      <c r="B50" t="str">
        <f>IF(Base_Notas!B91&lt;&gt;"", Base_Notas!B91, "")</f>
        <v/>
      </c>
      <c r="AI50" t="str">
        <f t="shared" si="6"/>
        <v/>
      </c>
      <c r="AJ50" t="str">
        <f t="shared" si="7"/>
        <v/>
      </c>
      <c r="AK50" t="str">
        <f t="shared" si="8"/>
        <v/>
      </c>
    </row>
    <row r="51" spans="1:37">
      <c r="A51" t="str">
        <f>IF(Base_Notas!A92&lt;&gt;"", Base_Notas!A92, "")</f>
        <v/>
      </c>
      <c r="B51" t="str">
        <f>IF(Base_Notas!B92&lt;&gt;"", Base_Notas!B92, "")</f>
        <v/>
      </c>
      <c r="AI51" t="str">
        <f t="shared" si="6"/>
        <v/>
      </c>
      <c r="AJ51" t="str">
        <f t="shared" si="7"/>
        <v/>
      </c>
      <c r="AK51" t="str">
        <f t="shared" si="8"/>
        <v/>
      </c>
    </row>
    <row r="52" spans="1:37">
      <c r="A52" t="str">
        <f>IF(Base_Notas!A93&lt;&gt;"", Base_Notas!A93, "")</f>
        <v/>
      </c>
      <c r="B52" t="str">
        <f>IF(Base_Notas!B93&lt;&gt;"", Base_Notas!B93, "")</f>
        <v/>
      </c>
      <c r="AI52" t="str">
        <f t="shared" si="6"/>
        <v/>
      </c>
      <c r="AJ52" t="str">
        <f t="shared" si="7"/>
        <v/>
      </c>
      <c r="AK52" t="str">
        <f t="shared" si="8"/>
        <v/>
      </c>
    </row>
    <row r="53" spans="1:37">
      <c r="A53" t="str">
        <f>IF(Base_Notas!A94&lt;&gt;"", Base_Notas!A94, "")</f>
        <v/>
      </c>
      <c r="B53" t="str">
        <f>IF(Base_Notas!B94&lt;&gt;"", Base_Notas!B94, "")</f>
        <v/>
      </c>
      <c r="AI53" t="str">
        <f t="shared" si="6"/>
        <v/>
      </c>
      <c r="AJ53" t="str">
        <f t="shared" si="7"/>
        <v/>
      </c>
      <c r="AK53" t="str">
        <f t="shared" si="8"/>
        <v/>
      </c>
    </row>
    <row r="54" spans="1:37">
      <c r="A54" t="str">
        <f>IF(Base_Notas!A95&lt;&gt;"", Base_Notas!A95, "")</f>
        <v/>
      </c>
      <c r="B54" t="str">
        <f>IF(Base_Notas!B95&lt;&gt;"", Base_Notas!B95, "")</f>
        <v/>
      </c>
      <c r="AI54" t="str">
        <f t="shared" si="6"/>
        <v/>
      </c>
      <c r="AJ54" t="str">
        <f t="shared" si="7"/>
        <v/>
      </c>
      <c r="AK54" t="str">
        <f t="shared" si="8"/>
        <v/>
      </c>
    </row>
    <row r="55" spans="1:37">
      <c r="A55" t="str">
        <f>IF(Base_Notas!A96&lt;&gt;"", Base_Notas!A96, "")</f>
        <v/>
      </c>
      <c r="B55" t="str">
        <f>IF(Base_Notas!B96&lt;&gt;"", Base_Notas!B96, "")</f>
        <v/>
      </c>
      <c r="AI55" t="str">
        <f t="shared" si="6"/>
        <v/>
      </c>
      <c r="AJ55" t="str">
        <f t="shared" si="7"/>
        <v/>
      </c>
      <c r="AK55" t="str">
        <f t="shared" si="8"/>
        <v/>
      </c>
    </row>
    <row r="56" spans="1:37">
      <c r="A56" t="str">
        <f>IF(Base_Notas!A97&lt;&gt;"", Base_Notas!A97, "")</f>
        <v/>
      </c>
      <c r="B56" t="str">
        <f>IF(Base_Notas!B97&lt;&gt;"", Base_Notas!B97, "")</f>
        <v/>
      </c>
      <c r="AI56" t="str">
        <f t="shared" si="6"/>
        <v/>
      </c>
      <c r="AJ56" t="str">
        <f t="shared" si="7"/>
        <v/>
      </c>
      <c r="AK56" t="str">
        <f t="shared" si="8"/>
        <v/>
      </c>
    </row>
    <row r="57" spans="1:37">
      <c r="A57" t="str">
        <f>IF(Base_Notas!A98&lt;&gt;"", Base_Notas!A98, "")</f>
        <v/>
      </c>
      <c r="B57" t="str">
        <f>IF(Base_Notas!B98&lt;&gt;"", Base_Notas!B98, "")</f>
        <v/>
      </c>
      <c r="AI57" t="str">
        <f t="shared" ref="AI57:AI88" si="9">IF(B57&lt;&gt;"", SUMIF(C57:AH57, 1), "")</f>
        <v/>
      </c>
      <c r="AJ57" t="str">
        <f t="shared" ref="AJ57:AJ88" si="10">IF(B57&lt;&gt;"", AI57/32, "")</f>
        <v/>
      </c>
      <c r="AK57" t="str">
        <f t="shared" ref="AK57:AK88" si="11">IF(B57="", "", IF(AJ57&gt;0.2, "Pérdida por Faltas", "Regular"))</f>
        <v/>
      </c>
    </row>
    <row r="58" spans="1:37">
      <c r="A58" t="str">
        <f>IF(Base_Notas!A99&lt;&gt;"", Base_Notas!A99, "")</f>
        <v/>
      </c>
      <c r="B58" t="str">
        <f>IF(Base_Notas!B99&lt;&gt;"", Base_Notas!B99, "")</f>
        <v/>
      </c>
      <c r="AI58" t="str">
        <f t="shared" si="9"/>
        <v/>
      </c>
      <c r="AJ58" t="str">
        <f t="shared" si="10"/>
        <v/>
      </c>
      <c r="AK58" t="str">
        <f t="shared" si="11"/>
        <v/>
      </c>
    </row>
  </sheetData>
  <conditionalFormatting sqref="AJ2:AJ12">
    <cfRule type="cellIs" dxfId="2" priority="9" operator="greaterThan">
      <formula>0.2</formula>
    </cfRule>
  </conditionalFormatting>
  <conditionalFormatting sqref="AK2:AK12">
    <cfRule type="cellIs" dxfId="1" priority="7" operator="equal">
      <formula>"Regular"</formula>
    </cfRule>
    <cfRule type="cellIs" dxfId="0" priority="8" operator="equal">
      <formula>"Pérdida por Faltas"</formula>
    </cfRule>
  </conditionalFormatting>
  <dataValidations count="1">
    <dataValidation type="list" sqref="C2 C3 C4 C5 C6 C7 C8 C9 C10 C11 C12 D2 D3 D4 D5 D6 D7 D8 D9 D10 D11 D12 E2 E3 E4 E5 E6 E7 E8 E9 E10 E11 E12 F2 F3 F4 F5 F6 F7 F8 F9 F10 F11 F12 G2 G3 G4 G5 G6 G7 G8 G9 G10 G11 G12 H2 H3 H4 H5 H6 H7 H8 H9 H10 H11 H12 I2 I3 I4 I5 I6 I7 I8 I9 I10 I11 I12 J2 J3 J4 J5 J6 J7 J8 J9 J10 J11 J12 K2 K3 K4 K5 K6 K7 K8 K9 K10 K11 K12 L2 L3 L4 L5 L6 L7 L8 L9 L10 L11 L12 M2 M3 M4 M5 M6 M7 M8 M9 M10 M11 M12 N2 N3 N4 N5 N6 N7 N8 N9 N10 N11 N12 O2 O3 O4 O5 O6 O7 O8 O9 O10 O11 O12 P2 P3 P4 P5 P6 P7 P8 P9 P10 P11 P12 Q2 Q3 Q4 Q5 Q6 Q7 Q8 Q9 Q10 Q11 Q12 R2 R3 R4 R5 R6 R7 R8 R9 R10 R11 R12 S2 S3 S4 S5 S6 S7 S8 S9 S10 S11 S12 T2 T3 T4 T5 T6 T7 T8 T9 T10 T11 T12 U2 U3 U4 U5 U6 U7 U8 U9 U10 U11 U12 V2 V3 V4 V5 V6 V7 V8 V9 V10 V11 V12 W2 W3 W4 W5 W6 W7 W8 W9 W10 W11 W12 X2 X3 X4 X5 X6 X7 X8 X9 X10 X11 X12 Y2 Y3 Y4 Y5 Y6 Y7 Y8 Y9 Y10 Y11 Y12 Z2 Z3 Z4 Z5 Z6 Z7 Z8 Z9 Z10 Z11 Z12 AA2 AA3 AA4 AA5 AA6 AA7 AA8 AA9 AA10 AA11 AA12 AB2 AB3 AB4 AB5 AB6 AB7 AB8 AB9 AB10 AB11 AB12 AC2 AC3 AC4 AC5 AC6 AC7 AC8 AC9 AC10 AC11 AC12 AD2 AD3 AD4 AD5 AD6 AD7 AD8 AD9 AD10 AD11 AD12 AE2 AE3 AE4 AE5 AE6 AE7 AE8 AE9 AE10 AE11 AE12 AF2 AF3 AF4 AF5 AF6 AF7 AF8 AF9 AF10 AF11 AF12 AG2 AG3 AG4 AG5 AG6 AG7 AG8 AG9 AG10 AG11 AG12 AH2 AH3 AH4 AH5 AH6 AH7 AH8 AH9 AH10 AH11 AH12" xr:uid="{00000000-0002-0000-0200-000000000000}">
      <formula1>"0,1,J"</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2"/>
  <sheetViews>
    <sheetView workbookViewId="0">
      <selection activeCell="B16" sqref="B16"/>
    </sheetView>
  </sheetViews>
  <sheetFormatPr baseColWidth="10" defaultRowHeight="14.4"/>
  <cols>
    <col min="1" max="1" width="13.5546875" style="2" customWidth="1"/>
    <col min="2" max="2" width="34.21875" style="1" customWidth="1"/>
    <col min="3" max="3" width="18.88671875" style="1" customWidth="1"/>
    <col min="4" max="4" width="27.5546875" style="1" customWidth="1"/>
    <col min="5" max="5" width="47.109375" customWidth="1"/>
  </cols>
  <sheetData>
    <row r="1" spans="1:5" ht="43.2" customHeight="1">
      <c r="B1" s="3" t="s">
        <v>120</v>
      </c>
      <c r="C1" s="3" t="s">
        <v>121</v>
      </c>
      <c r="D1" s="3" t="s">
        <v>122</v>
      </c>
      <c r="E1" s="3" t="s">
        <v>123</v>
      </c>
    </row>
    <row r="2" spans="1:5" ht="158.4" customHeight="1">
      <c r="A2" s="70">
        <v>1</v>
      </c>
      <c r="B2" s="70" t="s">
        <v>124</v>
      </c>
      <c r="C2" s="70" t="s">
        <v>125</v>
      </c>
      <c r="D2" s="70" t="s">
        <v>126</v>
      </c>
      <c r="E2" s="4" t="s">
        <v>127</v>
      </c>
    </row>
    <row r="3" spans="1:5" ht="57.6" customHeight="1">
      <c r="A3" s="71"/>
      <c r="B3" s="71"/>
      <c r="C3" s="71"/>
      <c r="D3" s="71"/>
      <c r="E3" s="4" t="s">
        <v>128</v>
      </c>
    </row>
    <row r="4" spans="1:5" ht="57.6" customHeight="1">
      <c r="A4" s="72"/>
      <c r="B4" s="72"/>
      <c r="C4" s="72"/>
      <c r="D4" s="72"/>
      <c r="E4" s="4" t="s">
        <v>129</v>
      </c>
    </row>
    <row r="5" spans="1:5" ht="187.2" customHeight="1">
      <c r="A5" s="3">
        <v>2</v>
      </c>
      <c r="B5" s="5" t="s">
        <v>130</v>
      </c>
      <c r="C5" s="5" t="s">
        <v>131</v>
      </c>
      <c r="D5" s="5" t="s">
        <v>132</v>
      </c>
      <c r="E5" s="4" t="s">
        <v>133</v>
      </c>
    </row>
    <row r="6" spans="1:5" ht="230.4" customHeight="1">
      <c r="A6" s="70">
        <v>3</v>
      </c>
      <c r="B6" s="70" t="s">
        <v>134</v>
      </c>
      <c r="C6" s="70" t="s">
        <v>125</v>
      </c>
      <c r="D6" s="70" t="s">
        <v>135</v>
      </c>
      <c r="E6" s="4" t="s">
        <v>136</v>
      </c>
    </row>
    <row r="7" spans="1:5" ht="28.8" customHeight="1">
      <c r="A7" s="71"/>
      <c r="B7" s="71"/>
      <c r="C7" s="71"/>
      <c r="D7" s="71"/>
      <c r="E7" s="4" t="s">
        <v>137</v>
      </c>
    </row>
    <row r="8" spans="1:5" ht="28.8" customHeight="1">
      <c r="A8" s="72"/>
      <c r="B8" s="72"/>
      <c r="C8" s="72"/>
      <c r="D8" s="72"/>
      <c r="E8" s="4" t="s">
        <v>138</v>
      </c>
    </row>
    <row r="9" spans="1:5" ht="172.8" customHeight="1">
      <c r="A9" s="3">
        <v>4</v>
      </c>
      <c r="B9" s="5" t="s">
        <v>139</v>
      </c>
      <c r="C9" s="5" t="s">
        <v>140</v>
      </c>
      <c r="D9" s="5" t="s">
        <v>141</v>
      </c>
      <c r="E9" s="4" t="s">
        <v>142</v>
      </c>
    </row>
    <row r="10" spans="1:5" ht="172.8" customHeight="1">
      <c r="A10" s="3">
        <v>5</v>
      </c>
      <c r="B10" s="5" t="s">
        <v>143</v>
      </c>
      <c r="C10" s="5" t="s">
        <v>140</v>
      </c>
      <c r="D10" s="5" t="s">
        <v>144</v>
      </c>
      <c r="E10" s="4" t="s">
        <v>145</v>
      </c>
    </row>
    <row r="12" spans="1:5" ht="18" customHeight="1">
      <c r="A12" s="40" t="s">
        <v>146</v>
      </c>
    </row>
    <row r="14" spans="1:5" ht="15" customHeight="1">
      <c r="A14" t="s">
        <v>147</v>
      </c>
    </row>
    <row r="15" spans="1:5">
      <c r="A15" s="41"/>
    </row>
    <row r="16" spans="1:5">
      <c r="A16" s="42" t="s">
        <v>148</v>
      </c>
    </row>
    <row r="17" spans="1:1">
      <c r="A17" s="41"/>
    </row>
    <row r="18" spans="1:1">
      <c r="A18" s="42" t="s">
        <v>149</v>
      </c>
    </row>
    <row r="19" spans="1:1">
      <c r="A19" s="41"/>
    </row>
    <row r="20" spans="1:1">
      <c r="A20" s="42" t="s">
        <v>150</v>
      </c>
    </row>
    <row r="21" spans="1:1">
      <c r="A21" s="41"/>
    </row>
    <row r="22" spans="1:1">
      <c r="A22" s="42" t="s">
        <v>151</v>
      </c>
    </row>
  </sheetData>
  <mergeCells count="8">
    <mergeCell ref="D2:D4"/>
    <mergeCell ref="D6:D8"/>
    <mergeCell ref="B6:B8"/>
    <mergeCell ref="A2:A4"/>
    <mergeCell ref="C2:C4"/>
    <mergeCell ref="B2:B4"/>
    <mergeCell ref="C6:C8"/>
    <mergeCell ref="A6:A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Dashboard</vt:lpstr>
      <vt:lpstr>Base_Notas</vt:lpstr>
      <vt:lpstr>Control_Asistencia</vt:lpstr>
      <vt:lpstr>Competencias y rap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K Marquez C.</cp:lastModifiedBy>
  <dcterms:created xsi:type="dcterms:W3CDTF">2026-07-11T15:07:59Z</dcterms:created>
  <dcterms:modified xsi:type="dcterms:W3CDTF">2026-07-13T00:43:59Z</dcterms:modified>
</cp:coreProperties>
</file>